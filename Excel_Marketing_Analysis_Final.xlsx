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hidePivotFieldList="1"/>
  <xr:revisionPtr revIDLastSave="3099" documentId="11_0B1D56BE9CDCCE836B02CE7A5FB0D4A9BBFD1C62" xr6:coauthVersionLast="47" xr6:coauthVersionMax="47" xr10:uidLastSave="{1A8C4DDF-F368-435F-8326-21CF632B1A10}"/>
  <bookViews>
    <workbookView xWindow="240" yWindow="105" windowWidth="14805" windowHeight="8010" firstSheet="6" activeTab="6" xr2:uid="{00000000-000D-0000-FFFF-FFFF00000000}"/>
  </bookViews>
  <sheets>
    <sheet name="Project Overview" sheetId="4" r:id="rId1"/>
    <sheet name="Raw Data" sheetId="1" r:id="rId2"/>
    <sheet name="Cleaned Data" sheetId="2" r:id="rId3"/>
    <sheet name="Data Cleaning Summary" sheetId="3" r:id="rId4"/>
    <sheet name="Processed Data" sheetId="5" r:id="rId5"/>
    <sheet name="Pivot Analysis" sheetId="6" r:id="rId6"/>
    <sheet name="Dashboard" sheetId="7" r:id="rId7"/>
    <sheet name="Insights" sheetId="8" r:id="rId8"/>
  </sheets>
  <definedNames>
    <definedName name="_xlnm._FilterDatabase" localSheetId="1" hidden="1">'Raw Data'!$A$5:$M$310</definedName>
    <definedName name="_xlnm._FilterDatabase" localSheetId="2" hidden="1">'Cleaned Data'!$A$5:$M$5</definedName>
  </definedNames>
  <calcPr calcId="191028"/>
  <pivotCaches>
    <pivotCache cacheId="6989"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7" i="5" l="1"/>
  <c r="S97" i="5"/>
  <c r="S109" i="5"/>
  <c r="S71" i="5"/>
  <c r="S302" i="5"/>
  <c r="S191" i="5"/>
  <c r="S263" i="5"/>
  <c r="S24" i="5"/>
  <c r="S149" i="5"/>
  <c r="S83" i="5"/>
  <c r="S49" i="5"/>
  <c r="S214" i="5"/>
  <c r="S294" i="5"/>
  <c r="S200" i="5"/>
  <c r="S269" i="5"/>
  <c r="S134" i="5"/>
  <c r="S250" i="5"/>
  <c r="S227" i="5"/>
  <c r="S243" i="5"/>
  <c r="S298" i="5"/>
  <c r="S284" i="5"/>
  <c r="S102" i="5"/>
  <c r="S156" i="5"/>
  <c r="S277" i="5"/>
  <c r="S62" i="5"/>
  <c r="S131" i="5"/>
  <c r="S153" i="5"/>
  <c r="S167" i="5"/>
  <c r="S262" i="5"/>
  <c r="S140" i="5"/>
  <c r="S192" i="5"/>
  <c r="S93" i="5"/>
  <c r="S52" i="5"/>
  <c r="S178" i="5"/>
  <c r="S141" i="5"/>
  <c r="S179" i="5"/>
  <c r="S8" i="5"/>
  <c r="S209" i="5"/>
  <c r="S166" i="5"/>
  <c r="S258" i="5"/>
  <c r="S122" i="5"/>
  <c r="S180" i="5"/>
  <c r="S50" i="5"/>
  <c r="S240" i="5"/>
  <c r="S303" i="5"/>
  <c r="S77" i="5"/>
  <c r="S229" i="5"/>
  <c r="S252" i="5"/>
  <c r="S61" i="5"/>
  <c r="S157" i="5"/>
  <c r="S28" i="5"/>
  <c r="S254" i="5"/>
  <c r="S85" i="5"/>
  <c r="S91" i="5"/>
  <c r="S98" i="5"/>
  <c r="S198" i="5"/>
  <c r="S279" i="5"/>
  <c r="S222" i="5"/>
  <c r="S144" i="5"/>
  <c r="S203" i="5"/>
  <c r="S148" i="5"/>
  <c r="S123" i="5"/>
  <c r="S100" i="5"/>
  <c r="S159" i="5"/>
  <c r="S147" i="5"/>
  <c r="S155" i="5"/>
  <c r="S211" i="5"/>
  <c r="S14" i="5"/>
  <c r="S46" i="5"/>
  <c r="S235" i="5"/>
  <c r="S72" i="5"/>
  <c r="S63" i="5"/>
  <c r="S272" i="5"/>
  <c r="S68" i="5"/>
  <c r="S60" i="5"/>
  <c r="S120" i="5"/>
  <c r="S207" i="5"/>
  <c r="S264" i="5"/>
  <c r="S265" i="5"/>
  <c r="S154" i="5"/>
  <c r="S38" i="5"/>
  <c r="S117" i="5"/>
  <c r="S171" i="5"/>
  <c r="S145" i="5"/>
  <c r="S224" i="5"/>
  <c r="S121" i="5"/>
  <c r="S18" i="5"/>
  <c r="S125" i="5"/>
  <c r="S10" i="5"/>
  <c r="S239" i="5"/>
  <c r="S204" i="5"/>
  <c r="S43" i="5"/>
  <c r="S185" i="5"/>
  <c r="S17" i="5"/>
  <c r="S291" i="5"/>
  <c r="S44" i="5"/>
  <c r="S70" i="5"/>
  <c r="S188" i="5"/>
  <c r="S281" i="5"/>
  <c r="S6" i="5"/>
  <c r="S16" i="5"/>
  <c r="S223" i="5"/>
  <c r="S201" i="5"/>
  <c r="S212" i="5"/>
  <c r="S286" i="5"/>
  <c r="S35" i="5"/>
  <c r="S300" i="5"/>
  <c r="S196" i="5"/>
  <c r="S137" i="5"/>
  <c r="S74" i="5"/>
  <c r="S233" i="5"/>
  <c r="S142" i="5"/>
  <c r="S193" i="5"/>
  <c r="S104" i="5"/>
  <c r="S103" i="5"/>
  <c r="S138" i="5"/>
  <c r="S261" i="5"/>
  <c r="S58" i="5"/>
  <c r="S219" i="5"/>
  <c r="S143" i="5"/>
  <c r="S88" i="5"/>
  <c r="S37" i="5"/>
  <c r="S215" i="5"/>
  <c r="S257" i="5"/>
  <c r="S173" i="5"/>
  <c r="S20" i="5"/>
  <c r="S182" i="5"/>
  <c r="S268" i="5"/>
  <c r="S206" i="5"/>
  <c r="S244" i="5"/>
  <c r="S41" i="5"/>
  <c r="S54" i="5"/>
  <c r="S181" i="5"/>
  <c r="S99" i="5"/>
  <c r="S189" i="5"/>
  <c r="S160" i="5"/>
  <c r="S165" i="5"/>
  <c r="S197" i="5"/>
  <c r="S221" i="5"/>
  <c r="S107" i="5"/>
  <c r="S267" i="5"/>
  <c r="S53" i="5"/>
  <c r="S245" i="5"/>
  <c r="S248" i="5"/>
  <c r="S230" i="5"/>
  <c r="S292" i="5"/>
  <c r="S174" i="5"/>
  <c r="S220" i="5"/>
  <c r="S170" i="5"/>
  <c r="S64" i="5"/>
  <c r="S151" i="5"/>
  <c r="S164" i="5"/>
  <c r="S32" i="5"/>
  <c r="S226" i="5"/>
  <c r="S55" i="5"/>
  <c r="S26" i="5"/>
  <c r="S275" i="5"/>
  <c r="S9" i="5"/>
  <c r="S216" i="5"/>
  <c r="S11" i="5"/>
  <c r="S187" i="5"/>
  <c r="S101" i="5"/>
  <c r="S136" i="5"/>
  <c r="S59" i="5"/>
  <c r="S42" i="5"/>
  <c r="S67" i="5"/>
  <c r="S278" i="5"/>
  <c r="S36" i="5"/>
  <c r="S232" i="5"/>
  <c r="S259" i="5"/>
  <c r="S95" i="5"/>
  <c r="S133" i="5"/>
  <c r="S116" i="5"/>
  <c r="S40" i="5"/>
  <c r="S289" i="5"/>
  <c r="S297" i="5"/>
  <c r="S19" i="5"/>
  <c r="S89" i="5"/>
  <c r="S29" i="5"/>
  <c r="S282" i="5"/>
  <c r="S163" i="5"/>
  <c r="S115" i="5"/>
  <c r="S113" i="5"/>
  <c r="S48" i="5"/>
  <c r="S241" i="5"/>
  <c r="S25" i="5"/>
  <c r="S199" i="5"/>
  <c r="S65" i="5"/>
  <c r="S184" i="5"/>
  <c r="S295" i="5"/>
  <c r="S81" i="5"/>
  <c r="S225" i="5"/>
  <c r="S237" i="5"/>
  <c r="S217" i="5"/>
  <c r="S76" i="5"/>
  <c r="S75" i="5"/>
  <c r="S260" i="5"/>
  <c r="S45" i="5"/>
  <c r="S253" i="5"/>
  <c r="S39" i="5"/>
  <c r="S92" i="5"/>
  <c r="S106" i="5"/>
  <c r="S271" i="5"/>
  <c r="S183" i="5"/>
  <c r="S119" i="5"/>
  <c r="S238" i="5"/>
  <c r="S56" i="5"/>
  <c r="S293" i="5"/>
  <c r="S129" i="5"/>
  <c r="S110" i="5"/>
  <c r="S139" i="5"/>
  <c r="S210" i="5"/>
  <c r="S132" i="5"/>
  <c r="S208" i="5"/>
  <c r="S152" i="5"/>
  <c r="S118" i="5"/>
  <c r="S172" i="5"/>
  <c r="S7" i="5"/>
  <c r="S47" i="5"/>
  <c r="S288" i="5"/>
  <c r="S105" i="5"/>
  <c r="S33" i="5"/>
  <c r="S168" i="5"/>
  <c r="S150" i="5"/>
  <c r="S135" i="5"/>
  <c r="S255" i="5"/>
  <c r="S86" i="5"/>
  <c r="S80" i="5"/>
  <c r="S111" i="5"/>
  <c r="S228" i="5"/>
  <c r="S27" i="5"/>
  <c r="S202" i="5"/>
  <c r="S31" i="5"/>
  <c r="S108" i="5"/>
  <c r="S247" i="5"/>
  <c r="S175" i="5"/>
  <c r="S218" i="5"/>
  <c r="S158" i="5"/>
  <c r="S290" i="5"/>
  <c r="S12" i="5"/>
  <c r="S96" i="5"/>
  <c r="S82" i="5"/>
  <c r="S73" i="5"/>
  <c r="S23" i="5"/>
  <c r="S256" i="5"/>
  <c r="S34" i="5"/>
  <c r="S234" i="5"/>
  <c r="S236" i="5"/>
  <c r="S90" i="5"/>
  <c r="S15" i="5"/>
  <c r="S190" i="5"/>
  <c r="S124" i="5"/>
  <c r="S169" i="5"/>
  <c r="S30" i="5"/>
  <c r="S194" i="5"/>
  <c r="S285" i="5"/>
  <c r="S296" i="5"/>
  <c r="S176" i="5"/>
  <c r="S127" i="5"/>
  <c r="S246" i="5"/>
  <c r="S161" i="5"/>
  <c r="S249" i="5"/>
  <c r="S130" i="5"/>
  <c r="S270" i="5"/>
  <c r="S51" i="5"/>
  <c r="S78" i="5"/>
  <c r="S21" i="5"/>
  <c r="S146" i="5"/>
  <c r="S273" i="5"/>
  <c r="S283" i="5"/>
  <c r="S186" i="5"/>
  <c r="S79" i="5"/>
  <c r="S69" i="5"/>
  <c r="S231" i="5"/>
  <c r="S126" i="5"/>
  <c r="S94" i="5"/>
  <c r="S299" i="5"/>
  <c r="S177" i="5"/>
  <c r="S301" i="5"/>
  <c r="S213" i="5"/>
  <c r="S251" i="5"/>
  <c r="S266" i="5"/>
  <c r="S162" i="5"/>
  <c r="S22" i="5"/>
  <c r="S280" i="5"/>
  <c r="S287" i="5"/>
  <c r="S195" i="5"/>
  <c r="S66" i="5"/>
  <c r="S57" i="5"/>
  <c r="S276" i="5"/>
  <c r="S242" i="5"/>
  <c r="S112" i="5"/>
  <c r="S205" i="5"/>
  <c r="S274" i="5"/>
  <c r="S13" i="5"/>
  <c r="S114" i="5"/>
  <c r="S128" i="5"/>
  <c r="S84" i="5"/>
  <c r="R87" i="5"/>
  <c r="R97" i="5"/>
  <c r="R109" i="5"/>
  <c r="R71" i="5"/>
  <c r="R302" i="5"/>
  <c r="R191" i="5"/>
  <c r="R263" i="5"/>
  <c r="R24" i="5"/>
  <c r="R149" i="5"/>
  <c r="R83" i="5"/>
  <c r="R49" i="5"/>
  <c r="R214" i="5"/>
  <c r="R294" i="5"/>
  <c r="R200" i="5"/>
  <c r="R269" i="5"/>
  <c r="R134" i="5"/>
  <c r="R250" i="5"/>
  <c r="R227" i="5"/>
  <c r="R243" i="5"/>
  <c r="R298" i="5"/>
  <c r="R284" i="5"/>
  <c r="R102" i="5"/>
  <c r="R156" i="5"/>
  <c r="R277" i="5"/>
  <c r="R62" i="5"/>
  <c r="R131" i="5"/>
  <c r="R153" i="5"/>
  <c r="R167" i="5"/>
  <c r="R262" i="5"/>
  <c r="R140" i="5"/>
  <c r="R192" i="5"/>
  <c r="R93" i="5"/>
  <c r="R52" i="5"/>
  <c r="R178" i="5"/>
  <c r="R141" i="5"/>
  <c r="R179" i="5"/>
  <c r="R8" i="5"/>
  <c r="R209" i="5"/>
  <c r="R166" i="5"/>
  <c r="R258" i="5"/>
  <c r="R122" i="5"/>
  <c r="R180" i="5"/>
  <c r="R50" i="5"/>
  <c r="R240" i="5"/>
  <c r="R303" i="5"/>
  <c r="R77" i="5"/>
  <c r="R229" i="5"/>
  <c r="R252" i="5"/>
  <c r="R61" i="5"/>
  <c r="R157" i="5"/>
  <c r="R28" i="5"/>
  <c r="R254" i="5"/>
  <c r="R85" i="5"/>
  <c r="R91" i="5"/>
  <c r="R98" i="5"/>
  <c r="R198" i="5"/>
  <c r="R279" i="5"/>
  <c r="R222" i="5"/>
  <c r="R144" i="5"/>
  <c r="R203" i="5"/>
  <c r="R148" i="5"/>
  <c r="R123" i="5"/>
  <c r="R100" i="5"/>
  <c r="R159" i="5"/>
  <c r="R147" i="5"/>
  <c r="R155" i="5"/>
  <c r="R211" i="5"/>
  <c r="R14" i="5"/>
  <c r="R46" i="5"/>
  <c r="R235" i="5"/>
  <c r="R72" i="5"/>
  <c r="R63" i="5"/>
  <c r="R272" i="5"/>
  <c r="R68" i="5"/>
  <c r="R60" i="5"/>
  <c r="R120" i="5"/>
  <c r="R207" i="5"/>
  <c r="R264" i="5"/>
  <c r="R265" i="5"/>
  <c r="R154" i="5"/>
  <c r="R38" i="5"/>
  <c r="R117" i="5"/>
  <c r="R171" i="5"/>
  <c r="R145" i="5"/>
  <c r="R224" i="5"/>
  <c r="R121" i="5"/>
  <c r="R18" i="5"/>
  <c r="R125" i="5"/>
  <c r="R10" i="5"/>
  <c r="R239" i="5"/>
  <c r="R204" i="5"/>
  <c r="R43" i="5"/>
  <c r="R185" i="5"/>
  <c r="R17" i="5"/>
  <c r="R291" i="5"/>
  <c r="R44" i="5"/>
  <c r="R70" i="5"/>
  <c r="R188" i="5"/>
  <c r="R281" i="5"/>
  <c r="R6" i="5"/>
  <c r="R16" i="5"/>
  <c r="R223" i="5"/>
  <c r="R201" i="5"/>
  <c r="R212" i="5"/>
  <c r="R286" i="5"/>
  <c r="R35" i="5"/>
  <c r="R300" i="5"/>
  <c r="R196" i="5"/>
  <c r="R137" i="5"/>
  <c r="R74" i="5"/>
  <c r="R233" i="5"/>
  <c r="R142" i="5"/>
  <c r="R193" i="5"/>
  <c r="R104" i="5"/>
  <c r="R103" i="5"/>
  <c r="R138" i="5"/>
  <c r="R261" i="5"/>
  <c r="R58" i="5"/>
  <c r="R219" i="5"/>
  <c r="R143" i="5"/>
  <c r="R88" i="5"/>
  <c r="R37" i="5"/>
  <c r="R215" i="5"/>
  <c r="R257" i="5"/>
  <c r="R173" i="5"/>
  <c r="R20" i="5"/>
  <c r="R182" i="5"/>
  <c r="R268" i="5"/>
  <c r="R206" i="5"/>
  <c r="R244" i="5"/>
  <c r="R41" i="5"/>
  <c r="R54" i="5"/>
  <c r="R181" i="5"/>
  <c r="R99" i="5"/>
  <c r="R189" i="5"/>
  <c r="R160" i="5"/>
  <c r="R165" i="5"/>
  <c r="R197" i="5"/>
  <c r="R221" i="5"/>
  <c r="R107" i="5"/>
  <c r="R267" i="5"/>
  <c r="R53" i="5"/>
  <c r="R245" i="5"/>
  <c r="R248" i="5"/>
  <c r="R230" i="5"/>
  <c r="R292" i="5"/>
  <c r="R174" i="5"/>
  <c r="R220" i="5"/>
  <c r="R170" i="5"/>
  <c r="R64" i="5"/>
  <c r="R151" i="5"/>
  <c r="R164" i="5"/>
  <c r="R32" i="5"/>
  <c r="R226" i="5"/>
  <c r="R55" i="5"/>
  <c r="R26" i="5"/>
  <c r="R275" i="5"/>
  <c r="R9" i="5"/>
  <c r="R216" i="5"/>
  <c r="R11" i="5"/>
  <c r="R187" i="5"/>
  <c r="R101" i="5"/>
  <c r="R136" i="5"/>
  <c r="R59" i="5"/>
  <c r="R42" i="5"/>
  <c r="R67" i="5"/>
  <c r="R278" i="5"/>
  <c r="R36" i="5"/>
  <c r="R232" i="5"/>
  <c r="R259" i="5"/>
  <c r="R95" i="5"/>
  <c r="R133" i="5"/>
  <c r="R116" i="5"/>
  <c r="R40" i="5"/>
  <c r="R289" i="5"/>
  <c r="R297" i="5"/>
  <c r="R19" i="5"/>
  <c r="R89" i="5"/>
  <c r="R29" i="5"/>
  <c r="R282" i="5"/>
  <c r="R163" i="5"/>
  <c r="R115" i="5"/>
  <c r="R113" i="5"/>
  <c r="R48" i="5"/>
  <c r="R241" i="5"/>
  <c r="R25" i="5"/>
  <c r="R199" i="5"/>
  <c r="R65" i="5"/>
  <c r="R184" i="5"/>
  <c r="R295" i="5"/>
  <c r="R81" i="5"/>
  <c r="R225" i="5"/>
  <c r="R237" i="5"/>
  <c r="R217" i="5"/>
  <c r="R76" i="5"/>
  <c r="R75" i="5"/>
  <c r="R260" i="5"/>
  <c r="R45" i="5"/>
  <c r="R253" i="5"/>
  <c r="R39" i="5"/>
  <c r="R92" i="5"/>
  <c r="R106" i="5"/>
  <c r="R271" i="5"/>
  <c r="R183" i="5"/>
  <c r="R119" i="5"/>
  <c r="R238" i="5"/>
  <c r="R56" i="5"/>
  <c r="R293" i="5"/>
  <c r="R129" i="5"/>
  <c r="R110" i="5"/>
  <c r="R139" i="5"/>
  <c r="R210" i="5"/>
  <c r="R132" i="5"/>
  <c r="R208" i="5"/>
  <c r="R152" i="5"/>
  <c r="R118" i="5"/>
  <c r="R172" i="5"/>
  <c r="R7" i="5"/>
  <c r="R47" i="5"/>
  <c r="R288" i="5"/>
  <c r="R105" i="5"/>
  <c r="R33" i="5"/>
  <c r="R168" i="5"/>
  <c r="R150" i="5"/>
  <c r="R135" i="5"/>
  <c r="R255" i="5"/>
  <c r="R86" i="5"/>
  <c r="R80" i="5"/>
  <c r="R111" i="5"/>
  <c r="R228" i="5"/>
  <c r="R27" i="5"/>
  <c r="R202" i="5"/>
  <c r="R31" i="5"/>
  <c r="R108" i="5"/>
  <c r="R247" i="5"/>
  <c r="R175" i="5"/>
  <c r="R218" i="5"/>
  <c r="R158" i="5"/>
  <c r="R290" i="5"/>
  <c r="R12" i="5"/>
  <c r="R96" i="5"/>
  <c r="R82" i="5"/>
  <c r="R73" i="5"/>
  <c r="R23" i="5"/>
  <c r="R256" i="5"/>
  <c r="R34" i="5"/>
  <c r="R234" i="5"/>
  <c r="R236" i="5"/>
  <c r="R90" i="5"/>
  <c r="R15" i="5"/>
  <c r="R190" i="5"/>
  <c r="R124" i="5"/>
  <c r="R169" i="5"/>
  <c r="R30" i="5"/>
  <c r="R194" i="5"/>
  <c r="R285" i="5"/>
  <c r="R296" i="5"/>
  <c r="R176" i="5"/>
  <c r="R127" i="5"/>
  <c r="R246" i="5"/>
  <c r="R161" i="5"/>
  <c r="R249" i="5"/>
  <c r="R130" i="5"/>
  <c r="R270" i="5"/>
  <c r="R51" i="5"/>
  <c r="R78" i="5"/>
  <c r="R21" i="5"/>
  <c r="R146" i="5"/>
  <c r="R273" i="5"/>
  <c r="R283" i="5"/>
  <c r="R186" i="5"/>
  <c r="R79" i="5"/>
  <c r="R69" i="5"/>
  <c r="R231" i="5"/>
  <c r="R126" i="5"/>
  <c r="R94" i="5"/>
  <c r="R299" i="5"/>
  <c r="R177" i="5"/>
  <c r="R301" i="5"/>
  <c r="R213" i="5"/>
  <c r="R251" i="5"/>
  <c r="R266" i="5"/>
  <c r="R162" i="5"/>
  <c r="R22" i="5"/>
  <c r="R280" i="5"/>
  <c r="R287" i="5"/>
  <c r="R195" i="5"/>
  <c r="R66" i="5"/>
  <c r="R57" i="5"/>
  <c r="R276" i="5"/>
  <c r="R242" i="5"/>
  <c r="R112" i="5"/>
  <c r="R205" i="5"/>
  <c r="R274" i="5"/>
  <c r="R13" i="5"/>
  <c r="R114" i="5"/>
  <c r="R128" i="5"/>
  <c r="R84" i="5"/>
  <c r="Q87" i="5"/>
  <c r="Q97" i="5"/>
  <c r="Q109" i="5"/>
  <c r="Q71" i="5"/>
  <c r="Q302" i="5"/>
  <c r="Q191" i="5"/>
  <c r="Q263" i="5"/>
  <c r="Q24" i="5"/>
  <c r="Q149" i="5"/>
  <c r="Q83" i="5"/>
  <c r="Q49" i="5"/>
  <c r="Q214" i="5"/>
  <c r="Q294" i="5"/>
  <c r="Q200" i="5"/>
  <c r="Q269" i="5"/>
  <c r="Q134" i="5"/>
  <c r="Q250" i="5"/>
  <c r="Q227" i="5"/>
  <c r="Q243" i="5"/>
  <c r="Q298" i="5"/>
  <c r="Q284" i="5"/>
  <c r="Q102" i="5"/>
  <c r="Q156" i="5"/>
  <c r="Q277" i="5"/>
  <c r="Q62" i="5"/>
  <c r="Q131" i="5"/>
  <c r="Q153" i="5"/>
  <c r="Q167" i="5"/>
  <c r="Q262" i="5"/>
  <c r="Q140" i="5"/>
  <c r="Q192" i="5"/>
  <c r="Q93" i="5"/>
  <c r="Q52" i="5"/>
  <c r="Q178" i="5"/>
  <c r="Q141" i="5"/>
  <c r="Q179" i="5"/>
  <c r="Q8" i="5"/>
  <c r="Q209" i="5"/>
  <c r="Q166" i="5"/>
  <c r="Q258" i="5"/>
  <c r="Q122" i="5"/>
  <c r="Q180" i="5"/>
  <c r="Q50" i="5"/>
  <c r="Q240" i="5"/>
  <c r="Q303" i="5"/>
  <c r="Q77" i="5"/>
  <c r="Q229" i="5"/>
  <c r="Q252" i="5"/>
  <c r="Q61" i="5"/>
  <c r="Q157" i="5"/>
  <c r="Q28" i="5"/>
  <c r="Q254" i="5"/>
  <c r="Q85" i="5"/>
  <c r="Q91" i="5"/>
  <c r="Q98" i="5"/>
  <c r="Q198" i="5"/>
  <c r="Q279" i="5"/>
  <c r="Q222" i="5"/>
  <c r="Q144" i="5"/>
  <c r="Q203" i="5"/>
  <c r="Q148" i="5"/>
  <c r="Q123" i="5"/>
  <c r="Q100" i="5"/>
  <c r="Q159" i="5"/>
  <c r="Q147" i="5"/>
  <c r="Q155" i="5"/>
  <c r="Q211" i="5"/>
  <c r="Q14" i="5"/>
  <c r="Q46" i="5"/>
  <c r="Q235" i="5"/>
  <c r="Q72" i="5"/>
  <c r="Q63" i="5"/>
  <c r="Q272" i="5"/>
  <c r="Q68" i="5"/>
  <c r="Q60" i="5"/>
  <c r="Q120" i="5"/>
  <c r="Q207" i="5"/>
  <c r="Q264" i="5"/>
  <c r="Q265" i="5"/>
  <c r="Q154" i="5"/>
  <c r="Q38" i="5"/>
  <c r="Q117" i="5"/>
  <c r="Q171" i="5"/>
  <c r="Q145" i="5"/>
  <c r="Q224" i="5"/>
  <c r="Q121" i="5"/>
  <c r="Q18" i="5"/>
  <c r="Q125" i="5"/>
  <c r="Q10" i="5"/>
  <c r="Q239" i="5"/>
  <c r="Q204" i="5"/>
  <c r="Q43" i="5"/>
  <c r="Q185" i="5"/>
  <c r="Q17" i="5"/>
  <c r="Q291" i="5"/>
  <c r="Q44" i="5"/>
  <c r="Q70" i="5"/>
  <c r="Q188" i="5"/>
  <c r="Q281" i="5"/>
  <c r="Q6" i="5"/>
  <c r="Q16" i="5"/>
  <c r="Q223" i="5"/>
  <c r="Q201" i="5"/>
  <c r="Q212" i="5"/>
  <c r="Q286" i="5"/>
  <c r="Q35" i="5"/>
  <c r="Q300" i="5"/>
  <c r="Q196" i="5"/>
  <c r="Q137" i="5"/>
  <c r="Q74" i="5"/>
  <c r="Q233" i="5"/>
  <c r="Q142" i="5"/>
  <c r="Q193" i="5"/>
  <c r="Q104" i="5"/>
  <c r="Q103" i="5"/>
  <c r="Q138" i="5"/>
  <c r="Q261" i="5"/>
  <c r="Q58" i="5"/>
  <c r="Q219" i="5"/>
  <c r="Q143" i="5"/>
  <c r="Q88" i="5"/>
  <c r="Q37" i="5"/>
  <c r="Q215" i="5"/>
  <c r="Q257" i="5"/>
  <c r="Q173" i="5"/>
  <c r="Q20" i="5"/>
  <c r="Q182" i="5"/>
  <c r="Q268" i="5"/>
  <c r="Q206" i="5"/>
  <c r="Q244" i="5"/>
  <c r="Q41" i="5"/>
  <c r="Q54" i="5"/>
  <c r="Q181" i="5"/>
  <c r="Q99" i="5"/>
  <c r="Q189" i="5"/>
  <c r="Q160" i="5"/>
  <c r="Q165" i="5"/>
  <c r="Q197" i="5"/>
  <c r="Q221" i="5"/>
  <c r="Q107" i="5"/>
  <c r="Q267" i="5"/>
  <c r="Q53" i="5"/>
  <c r="Q245" i="5"/>
  <c r="Q248" i="5"/>
  <c r="Q230" i="5"/>
  <c r="Q292" i="5"/>
  <c r="Q174" i="5"/>
  <c r="Q220" i="5"/>
  <c r="Q170" i="5"/>
  <c r="Q64" i="5"/>
  <c r="Q151" i="5"/>
  <c r="Q164" i="5"/>
  <c r="Q32" i="5"/>
  <c r="Q226" i="5"/>
  <c r="Q55" i="5"/>
  <c r="Q26" i="5"/>
  <c r="Q275" i="5"/>
  <c r="Q9" i="5"/>
  <c r="Q216" i="5"/>
  <c r="Q11" i="5"/>
  <c r="Q187" i="5"/>
  <c r="Q101" i="5"/>
  <c r="Q136" i="5"/>
  <c r="Q59" i="5"/>
  <c r="Q42" i="5"/>
  <c r="Q67" i="5"/>
  <c r="Q278" i="5"/>
  <c r="Q36" i="5"/>
  <c r="Q232" i="5"/>
  <c r="Q259" i="5"/>
  <c r="Q95" i="5"/>
  <c r="Q133" i="5"/>
  <c r="Q116" i="5"/>
  <c r="Q40" i="5"/>
  <c r="Q289" i="5"/>
  <c r="Q297" i="5"/>
  <c r="Q19" i="5"/>
  <c r="Q89" i="5"/>
  <c r="Q29" i="5"/>
  <c r="Q282" i="5"/>
  <c r="Q163" i="5"/>
  <c r="Q115" i="5"/>
  <c r="Q113" i="5"/>
  <c r="Q48" i="5"/>
  <c r="Q241" i="5"/>
  <c r="Q25" i="5"/>
  <c r="Q199" i="5"/>
  <c r="Q65" i="5"/>
  <c r="Q184" i="5"/>
  <c r="Q295" i="5"/>
  <c r="Q81" i="5"/>
  <c r="Q225" i="5"/>
  <c r="Q237" i="5"/>
  <c r="Q217" i="5"/>
  <c r="Q76" i="5"/>
  <c r="Q75" i="5"/>
  <c r="Q260" i="5"/>
  <c r="Q45" i="5"/>
  <c r="Q253" i="5"/>
  <c r="Q39" i="5"/>
  <c r="Q92" i="5"/>
  <c r="Q106" i="5"/>
  <c r="Q271" i="5"/>
  <c r="Q183" i="5"/>
  <c r="Q119" i="5"/>
  <c r="Q238" i="5"/>
  <c r="Q56" i="5"/>
  <c r="Q293" i="5"/>
  <c r="Q129" i="5"/>
  <c r="Q110" i="5"/>
  <c r="Q139" i="5"/>
  <c r="Q210" i="5"/>
  <c r="Q132" i="5"/>
  <c r="Q208" i="5"/>
  <c r="Q152" i="5"/>
  <c r="Q118" i="5"/>
  <c r="Q172" i="5"/>
  <c r="Q7" i="5"/>
  <c r="Q47" i="5"/>
  <c r="Q288" i="5"/>
  <c r="Q105" i="5"/>
  <c r="Q33" i="5"/>
  <c r="Q168" i="5"/>
  <c r="Q150" i="5"/>
  <c r="Q135" i="5"/>
  <c r="Q255" i="5"/>
  <c r="Q86" i="5"/>
  <c r="Q80" i="5"/>
  <c r="Q111" i="5"/>
  <c r="Q228" i="5"/>
  <c r="Q27" i="5"/>
  <c r="Q202" i="5"/>
  <c r="Q31" i="5"/>
  <c r="Q108" i="5"/>
  <c r="Q247" i="5"/>
  <c r="Q175" i="5"/>
  <c r="Q218" i="5"/>
  <c r="Q158" i="5"/>
  <c r="Q290" i="5"/>
  <c r="Q12" i="5"/>
  <c r="Q96" i="5"/>
  <c r="Q82" i="5"/>
  <c r="Q73" i="5"/>
  <c r="Q23" i="5"/>
  <c r="Q256" i="5"/>
  <c r="Q34" i="5"/>
  <c r="Q234" i="5"/>
  <c r="Q236" i="5"/>
  <c r="Q90" i="5"/>
  <c r="Q15" i="5"/>
  <c r="Q190" i="5"/>
  <c r="Q124" i="5"/>
  <c r="Q169" i="5"/>
  <c r="Q30" i="5"/>
  <c r="Q194" i="5"/>
  <c r="Q285" i="5"/>
  <c r="Q296" i="5"/>
  <c r="Q176" i="5"/>
  <c r="Q127" i="5"/>
  <c r="Q246" i="5"/>
  <c r="Q161" i="5"/>
  <c r="Q249" i="5"/>
  <c r="Q130" i="5"/>
  <c r="Q270" i="5"/>
  <c r="Q51" i="5"/>
  <c r="Q78" i="5"/>
  <c r="Q21" i="5"/>
  <c r="Q146" i="5"/>
  <c r="Q273" i="5"/>
  <c r="Q283" i="5"/>
  <c r="Q186" i="5"/>
  <c r="Q79" i="5"/>
  <c r="Q69" i="5"/>
  <c r="Q231" i="5"/>
  <c r="Q126" i="5"/>
  <c r="Q94" i="5"/>
  <c r="Q299" i="5"/>
  <c r="Q177" i="5"/>
  <c r="Q301" i="5"/>
  <c r="Q213" i="5"/>
  <c r="Q251" i="5"/>
  <c r="Q266" i="5"/>
  <c r="Q162" i="5"/>
  <c r="Q22" i="5"/>
  <c r="Q280" i="5"/>
  <c r="Q287" i="5"/>
  <c r="Q195" i="5"/>
  <c r="Q66" i="5"/>
  <c r="Q57" i="5"/>
  <c r="Q276" i="5"/>
  <c r="Q242" i="5"/>
  <c r="Q112" i="5"/>
  <c r="Q205" i="5"/>
  <c r="Q274" i="5"/>
  <c r="Q13" i="5"/>
  <c r="Q114" i="5"/>
  <c r="Q128" i="5"/>
  <c r="P87" i="5"/>
  <c r="P97" i="5"/>
  <c r="P109" i="5"/>
  <c r="P71" i="5"/>
  <c r="P302" i="5"/>
  <c r="P191" i="5"/>
  <c r="P263" i="5"/>
  <c r="P24" i="5"/>
  <c r="P149" i="5"/>
  <c r="P83" i="5"/>
  <c r="P49" i="5"/>
  <c r="P214" i="5"/>
  <c r="P294" i="5"/>
  <c r="P200" i="5"/>
  <c r="P269" i="5"/>
  <c r="P134" i="5"/>
  <c r="P250" i="5"/>
  <c r="P227" i="5"/>
  <c r="P243" i="5"/>
  <c r="P298" i="5"/>
  <c r="P284" i="5"/>
  <c r="P102" i="5"/>
  <c r="P156" i="5"/>
  <c r="P277" i="5"/>
  <c r="P62" i="5"/>
  <c r="P131" i="5"/>
  <c r="P153" i="5"/>
  <c r="P167" i="5"/>
  <c r="P262" i="5"/>
  <c r="P140" i="5"/>
  <c r="P192" i="5"/>
  <c r="P93" i="5"/>
  <c r="P52" i="5"/>
  <c r="P178" i="5"/>
  <c r="P141" i="5"/>
  <c r="P179" i="5"/>
  <c r="P8" i="5"/>
  <c r="P209" i="5"/>
  <c r="P166" i="5"/>
  <c r="P258" i="5"/>
  <c r="P122" i="5"/>
  <c r="P180" i="5"/>
  <c r="P50" i="5"/>
  <c r="P240" i="5"/>
  <c r="P303" i="5"/>
  <c r="P77" i="5"/>
  <c r="P229" i="5"/>
  <c r="P252" i="5"/>
  <c r="P61" i="5"/>
  <c r="P157" i="5"/>
  <c r="P28" i="5"/>
  <c r="P254" i="5"/>
  <c r="P85" i="5"/>
  <c r="P91" i="5"/>
  <c r="P98" i="5"/>
  <c r="P198" i="5"/>
  <c r="P279" i="5"/>
  <c r="P222" i="5"/>
  <c r="P144" i="5"/>
  <c r="P203" i="5"/>
  <c r="P148" i="5"/>
  <c r="P123" i="5"/>
  <c r="P100" i="5"/>
  <c r="P159" i="5"/>
  <c r="P147" i="5"/>
  <c r="P155" i="5"/>
  <c r="P211" i="5"/>
  <c r="P14" i="5"/>
  <c r="P46" i="5"/>
  <c r="P235" i="5"/>
  <c r="P72" i="5"/>
  <c r="P63" i="5"/>
  <c r="P272" i="5"/>
  <c r="P68" i="5"/>
  <c r="P60" i="5"/>
  <c r="P120" i="5"/>
  <c r="P207" i="5"/>
  <c r="P264" i="5"/>
  <c r="P265" i="5"/>
  <c r="P154" i="5"/>
  <c r="P38" i="5"/>
  <c r="P117" i="5"/>
  <c r="P171" i="5"/>
  <c r="P145" i="5"/>
  <c r="P224" i="5"/>
  <c r="P121" i="5"/>
  <c r="P18" i="5"/>
  <c r="P125" i="5"/>
  <c r="P10" i="5"/>
  <c r="P239" i="5"/>
  <c r="P204" i="5"/>
  <c r="P43" i="5"/>
  <c r="P185" i="5"/>
  <c r="P17" i="5"/>
  <c r="P291" i="5"/>
  <c r="P44" i="5"/>
  <c r="P70" i="5"/>
  <c r="P188" i="5"/>
  <c r="P281" i="5"/>
  <c r="P6" i="5"/>
  <c r="P16" i="5"/>
  <c r="P223" i="5"/>
  <c r="P201" i="5"/>
  <c r="P212" i="5"/>
  <c r="P286" i="5"/>
  <c r="P35" i="5"/>
  <c r="P300" i="5"/>
  <c r="P196" i="5"/>
  <c r="P137" i="5"/>
  <c r="P74" i="5"/>
  <c r="P233" i="5"/>
  <c r="P142" i="5"/>
  <c r="P193" i="5"/>
  <c r="P104" i="5"/>
  <c r="P103" i="5"/>
  <c r="P138" i="5"/>
  <c r="P261" i="5"/>
  <c r="P58" i="5"/>
  <c r="P219" i="5"/>
  <c r="P143" i="5"/>
  <c r="P88" i="5"/>
  <c r="P37" i="5"/>
  <c r="P215" i="5"/>
  <c r="P257" i="5"/>
  <c r="P173" i="5"/>
  <c r="P20" i="5"/>
  <c r="P182" i="5"/>
  <c r="P268" i="5"/>
  <c r="P206" i="5"/>
  <c r="P244" i="5"/>
  <c r="P41" i="5"/>
  <c r="P54" i="5"/>
  <c r="P181" i="5"/>
  <c r="P99" i="5"/>
  <c r="P189" i="5"/>
  <c r="P160" i="5"/>
  <c r="P165" i="5"/>
  <c r="P197" i="5"/>
  <c r="P221" i="5"/>
  <c r="P107" i="5"/>
  <c r="P267" i="5"/>
  <c r="P53" i="5"/>
  <c r="P245" i="5"/>
  <c r="P248" i="5"/>
  <c r="P230" i="5"/>
  <c r="P292" i="5"/>
  <c r="P174" i="5"/>
  <c r="P220" i="5"/>
  <c r="P170" i="5"/>
  <c r="P64" i="5"/>
  <c r="P151" i="5"/>
  <c r="P164" i="5"/>
  <c r="P32" i="5"/>
  <c r="P226" i="5"/>
  <c r="P55" i="5"/>
  <c r="P26" i="5"/>
  <c r="P275" i="5"/>
  <c r="P9" i="5"/>
  <c r="P216" i="5"/>
  <c r="P11" i="5"/>
  <c r="P187" i="5"/>
  <c r="P101" i="5"/>
  <c r="P136" i="5"/>
  <c r="P59" i="5"/>
  <c r="P42" i="5"/>
  <c r="P67" i="5"/>
  <c r="P278" i="5"/>
  <c r="P36" i="5"/>
  <c r="P232" i="5"/>
  <c r="P259" i="5"/>
  <c r="P95" i="5"/>
  <c r="P133" i="5"/>
  <c r="P116" i="5"/>
  <c r="P40" i="5"/>
  <c r="P289" i="5"/>
  <c r="P297" i="5"/>
  <c r="P19" i="5"/>
  <c r="P89" i="5"/>
  <c r="P29" i="5"/>
  <c r="P282" i="5"/>
  <c r="P163" i="5"/>
  <c r="P115" i="5"/>
  <c r="P113" i="5"/>
  <c r="P48" i="5"/>
  <c r="P241" i="5"/>
  <c r="P25" i="5"/>
  <c r="P199" i="5"/>
  <c r="P65" i="5"/>
  <c r="P184" i="5"/>
  <c r="P295" i="5"/>
  <c r="P81" i="5"/>
  <c r="P225" i="5"/>
  <c r="P237" i="5"/>
  <c r="P217" i="5"/>
  <c r="P76" i="5"/>
  <c r="P75" i="5"/>
  <c r="P260" i="5"/>
  <c r="P45" i="5"/>
  <c r="P253" i="5"/>
  <c r="P39" i="5"/>
  <c r="P92" i="5"/>
  <c r="P106" i="5"/>
  <c r="P271" i="5"/>
  <c r="P183" i="5"/>
  <c r="P119" i="5"/>
  <c r="P238" i="5"/>
  <c r="P56" i="5"/>
  <c r="P293" i="5"/>
  <c r="P129" i="5"/>
  <c r="P110" i="5"/>
  <c r="P139" i="5"/>
  <c r="P210" i="5"/>
  <c r="P132" i="5"/>
  <c r="P208" i="5"/>
  <c r="P152" i="5"/>
  <c r="P118" i="5"/>
  <c r="P172" i="5"/>
  <c r="P7" i="5"/>
  <c r="P47" i="5"/>
  <c r="P288" i="5"/>
  <c r="P105" i="5"/>
  <c r="P33" i="5"/>
  <c r="P168" i="5"/>
  <c r="P150" i="5"/>
  <c r="P135" i="5"/>
  <c r="P255" i="5"/>
  <c r="P86" i="5"/>
  <c r="P80" i="5"/>
  <c r="P111" i="5"/>
  <c r="P228" i="5"/>
  <c r="P27" i="5"/>
  <c r="P202" i="5"/>
  <c r="P31" i="5"/>
  <c r="P108" i="5"/>
  <c r="P247" i="5"/>
  <c r="P175" i="5"/>
  <c r="P218" i="5"/>
  <c r="P158" i="5"/>
  <c r="P290" i="5"/>
  <c r="P12" i="5"/>
  <c r="P96" i="5"/>
  <c r="P82" i="5"/>
  <c r="P73" i="5"/>
  <c r="P23" i="5"/>
  <c r="P256" i="5"/>
  <c r="P34" i="5"/>
  <c r="P234" i="5"/>
  <c r="P236" i="5"/>
  <c r="P90" i="5"/>
  <c r="P15" i="5"/>
  <c r="P190" i="5"/>
  <c r="P124" i="5"/>
  <c r="P169" i="5"/>
  <c r="P30" i="5"/>
  <c r="P194" i="5"/>
  <c r="P285" i="5"/>
  <c r="P296" i="5"/>
  <c r="P176" i="5"/>
  <c r="P127" i="5"/>
  <c r="P246" i="5"/>
  <c r="P161" i="5"/>
  <c r="P249" i="5"/>
  <c r="P130" i="5"/>
  <c r="P270" i="5"/>
  <c r="P51" i="5"/>
  <c r="P78" i="5"/>
  <c r="P21" i="5"/>
  <c r="P146" i="5"/>
  <c r="P273" i="5"/>
  <c r="P283" i="5"/>
  <c r="P186" i="5"/>
  <c r="P79" i="5"/>
  <c r="P69" i="5"/>
  <c r="P231" i="5"/>
  <c r="P126" i="5"/>
  <c r="P94" i="5"/>
  <c r="P299" i="5"/>
  <c r="P177" i="5"/>
  <c r="P301" i="5"/>
  <c r="P213" i="5"/>
  <c r="P251" i="5"/>
  <c r="P266" i="5"/>
  <c r="P162" i="5"/>
  <c r="P22" i="5"/>
  <c r="P280" i="5"/>
  <c r="P287" i="5"/>
  <c r="P195" i="5"/>
  <c r="P66" i="5"/>
  <c r="P57" i="5"/>
  <c r="P276" i="5"/>
  <c r="P242" i="5"/>
  <c r="P112" i="5"/>
  <c r="P205" i="5"/>
  <c r="P274" i="5"/>
  <c r="P13" i="5"/>
  <c r="P114" i="5"/>
  <c r="P128" i="5"/>
  <c r="N87" i="5"/>
  <c r="N97" i="5"/>
  <c r="N109" i="5"/>
  <c r="N71" i="5"/>
  <c r="N302" i="5"/>
  <c r="N191" i="5"/>
  <c r="N263" i="5"/>
  <c r="N24" i="5"/>
  <c r="N149" i="5"/>
  <c r="N83" i="5"/>
  <c r="N49" i="5"/>
  <c r="N214" i="5"/>
  <c r="N294" i="5"/>
  <c r="N200" i="5"/>
  <c r="N269" i="5"/>
  <c r="N134" i="5"/>
  <c r="N250" i="5"/>
  <c r="N227" i="5"/>
  <c r="N243" i="5"/>
  <c r="N298" i="5"/>
  <c r="N284" i="5"/>
  <c r="N102" i="5"/>
  <c r="N156" i="5"/>
  <c r="N277" i="5"/>
  <c r="N62" i="5"/>
  <c r="N131" i="5"/>
  <c r="N153" i="5"/>
  <c r="N167" i="5"/>
  <c r="N262" i="5"/>
  <c r="N140" i="5"/>
  <c r="N192" i="5"/>
  <c r="N93" i="5"/>
  <c r="N52" i="5"/>
  <c r="N178" i="5"/>
  <c r="N141" i="5"/>
  <c r="N179" i="5"/>
  <c r="N8" i="5"/>
  <c r="N209" i="5"/>
  <c r="N166" i="5"/>
  <c r="N258" i="5"/>
  <c r="N122" i="5"/>
  <c r="N180" i="5"/>
  <c r="N50" i="5"/>
  <c r="N240" i="5"/>
  <c r="N303" i="5"/>
  <c r="N77" i="5"/>
  <c r="N229" i="5"/>
  <c r="N252" i="5"/>
  <c r="N61" i="5"/>
  <c r="N157" i="5"/>
  <c r="N28" i="5"/>
  <c r="N254" i="5"/>
  <c r="N85" i="5"/>
  <c r="N91" i="5"/>
  <c r="N98" i="5"/>
  <c r="N198" i="5"/>
  <c r="N279" i="5"/>
  <c r="N222" i="5"/>
  <c r="N144" i="5"/>
  <c r="N203" i="5"/>
  <c r="N148" i="5"/>
  <c r="N123" i="5"/>
  <c r="N100" i="5"/>
  <c r="N159" i="5"/>
  <c r="N147" i="5"/>
  <c r="N155" i="5"/>
  <c r="N211" i="5"/>
  <c r="N14" i="5"/>
  <c r="N46" i="5"/>
  <c r="N235" i="5"/>
  <c r="N72" i="5"/>
  <c r="N63" i="5"/>
  <c r="N272" i="5"/>
  <c r="N68" i="5"/>
  <c r="N60" i="5"/>
  <c r="N120" i="5"/>
  <c r="N207" i="5"/>
  <c r="N264" i="5"/>
  <c r="N265" i="5"/>
  <c r="N154" i="5"/>
  <c r="N38" i="5"/>
  <c r="N117" i="5"/>
  <c r="N171" i="5"/>
  <c r="N145" i="5"/>
  <c r="N224" i="5"/>
  <c r="N121" i="5"/>
  <c r="N18" i="5"/>
  <c r="N125" i="5"/>
  <c r="N10" i="5"/>
  <c r="N239" i="5"/>
  <c r="N204" i="5"/>
  <c r="N43" i="5"/>
  <c r="N185" i="5"/>
  <c r="N17" i="5"/>
  <c r="N291" i="5"/>
  <c r="N44" i="5"/>
  <c r="N70" i="5"/>
  <c r="N188" i="5"/>
  <c r="N281" i="5"/>
  <c r="N6" i="5"/>
  <c r="N16" i="5"/>
  <c r="N223" i="5"/>
  <c r="N201" i="5"/>
  <c r="N212" i="5"/>
  <c r="N286" i="5"/>
  <c r="N35" i="5"/>
  <c r="N300" i="5"/>
  <c r="N196" i="5"/>
  <c r="N137" i="5"/>
  <c r="N74" i="5"/>
  <c r="N233" i="5"/>
  <c r="N142" i="5"/>
  <c r="N193" i="5"/>
  <c r="N104" i="5"/>
  <c r="N103" i="5"/>
  <c r="N138" i="5"/>
  <c r="N261" i="5"/>
  <c r="N58" i="5"/>
  <c r="N219" i="5"/>
  <c r="N143" i="5"/>
  <c r="N88" i="5"/>
  <c r="N37" i="5"/>
  <c r="N215" i="5"/>
  <c r="N257" i="5"/>
  <c r="N173" i="5"/>
  <c r="N20" i="5"/>
  <c r="N182" i="5"/>
  <c r="N268" i="5"/>
  <c r="N206" i="5"/>
  <c r="N244" i="5"/>
  <c r="N41" i="5"/>
  <c r="N54" i="5"/>
  <c r="N181" i="5"/>
  <c r="N99" i="5"/>
  <c r="N189" i="5"/>
  <c r="N160" i="5"/>
  <c r="N165" i="5"/>
  <c r="N197" i="5"/>
  <c r="N221" i="5"/>
  <c r="N107" i="5"/>
  <c r="N267" i="5"/>
  <c r="N53" i="5"/>
  <c r="N245" i="5"/>
  <c r="N248" i="5"/>
  <c r="N230" i="5"/>
  <c r="N292" i="5"/>
  <c r="N174" i="5"/>
  <c r="N220" i="5"/>
  <c r="N170" i="5"/>
  <c r="N64" i="5"/>
  <c r="N151" i="5"/>
  <c r="N164" i="5"/>
  <c r="N32" i="5"/>
  <c r="N226" i="5"/>
  <c r="N55" i="5"/>
  <c r="N26" i="5"/>
  <c r="N275" i="5"/>
  <c r="N9" i="5"/>
  <c r="N216" i="5"/>
  <c r="N11" i="5"/>
  <c r="N187" i="5"/>
  <c r="N101" i="5"/>
  <c r="N136" i="5"/>
  <c r="N59" i="5"/>
  <c r="N42" i="5"/>
  <c r="N67" i="5"/>
  <c r="N278" i="5"/>
  <c r="N36" i="5"/>
  <c r="N232" i="5"/>
  <c r="N259" i="5"/>
  <c r="N95" i="5"/>
  <c r="N133" i="5"/>
  <c r="N116" i="5"/>
  <c r="N40" i="5"/>
  <c r="N289" i="5"/>
  <c r="N297" i="5"/>
  <c r="N19" i="5"/>
  <c r="N89" i="5"/>
  <c r="N29" i="5"/>
  <c r="N282" i="5"/>
  <c r="N163" i="5"/>
  <c r="N115" i="5"/>
  <c r="N113" i="5"/>
  <c r="N48" i="5"/>
  <c r="N241" i="5"/>
  <c r="N25" i="5"/>
  <c r="N199" i="5"/>
  <c r="N65" i="5"/>
  <c r="N184" i="5"/>
  <c r="N295" i="5"/>
  <c r="N81" i="5"/>
  <c r="N225" i="5"/>
  <c r="N237" i="5"/>
  <c r="N217" i="5"/>
  <c r="N76" i="5"/>
  <c r="N75" i="5"/>
  <c r="N260" i="5"/>
  <c r="N45" i="5"/>
  <c r="N253" i="5"/>
  <c r="N39" i="5"/>
  <c r="N92" i="5"/>
  <c r="N106" i="5"/>
  <c r="N271" i="5"/>
  <c r="N183" i="5"/>
  <c r="N119" i="5"/>
  <c r="N238" i="5"/>
  <c r="N56" i="5"/>
  <c r="N293" i="5"/>
  <c r="N129" i="5"/>
  <c r="N110" i="5"/>
  <c r="N139" i="5"/>
  <c r="N210" i="5"/>
  <c r="N132" i="5"/>
  <c r="N208" i="5"/>
  <c r="N152" i="5"/>
  <c r="N118" i="5"/>
  <c r="N172" i="5"/>
  <c r="N7" i="5"/>
  <c r="N47" i="5"/>
  <c r="N288" i="5"/>
  <c r="N105" i="5"/>
  <c r="N33" i="5"/>
  <c r="N168" i="5"/>
  <c r="N150" i="5"/>
  <c r="N135" i="5"/>
  <c r="N255" i="5"/>
  <c r="N86" i="5"/>
  <c r="N80" i="5"/>
  <c r="N111" i="5"/>
  <c r="N228" i="5"/>
  <c r="N27" i="5"/>
  <c r="N202" i="5"/>
  <c r="N31" i="5"/>
  <c r="N108" i="5"/>
  <c r="N247" i="5"/>
  <c r="N175" i="5"/>
  <c r="N218" i="5"/>
  <c r="N158" i="5"/>
  <c r="N290" i="5"/>
  <c r="N12" i="5"/>
  <c r="N96" i="5"/>
  <c r="N82" i="5"/>
  <c r="N73" i="5"/>
  <c r="N23" i="5"/>
  <c r="N256" i="5"/>
  <c r="N34" i="5"/>
  <c r="N234" i="5"/>
  <c r="N236" i="5"/>
  <c r="N90" i="5"/>
  <c r="N15" i="5"/>
  <c r="N190" i="5"/>
  <c r="N124" i="5"/>
  <c r="N169" i="5"/>
  <c r="N30" i="5"/>
  <c r="N194" i="5"/>
  <c r="N285" i="5"/>
  <c r="N296" i="5"/>
  <c r="N176" i="5"/>
  <c r="N127" i="5"/>
  <c r="N246" i="5"/>
  <c r="N161" i="5"/>
  <c r="N249" i="5"/>
  <c r="N130" i="5"/>
  <c r="N270" i="5"/>
  <c r="N51" i="5"/>
  <c r="N78" i="5"/>
  <c r="N21" i="5"/>
  <c r="N146" i="5"/>
  <c r="N273" i="5"/>
  <c r="N283" i="5"/>
  <c r="N186" i="5"/>
  <c r="N79" i="5"/>
  <c r="N69" i="5"/>
  <c r="N231" i="5"/>
  <c r="N126" i="5"/>
  <c r="N94" i="5"/>
  <c r="N299" i="5"/>
  <c r="N177" i="5"/>
  <c r="N301" i="5"/>
  <c r="N213" i="5"/>
  <c r="N251" i="5"/>
  <c r="N266" i="5"/>
  <c r="N162" i="5"/>
  <c r="N22" i="5"/>
  <c r="N280" i="5"/>
  <c r="N287" i="5"/>
  <c r="N195" i="5"/>
  <c r="N66" i="5"/>
  <c r="N57" i="5"/>
  <c r="N276" i="5"/>
  <c r="N242" i="5"/>
  <c r="N112" i="5"/>
  <c r="N205" i="5"/>
  <c r="N274" i="5"/>
  <c r="N13" i="5"/>
  <c r="N114" i="5"/>
  <c r="N128" i="5"/>
  <c r="Q84" i="5"/>
  <c r="P84" i="5"/>
  <c r="O87" i="5"/>
  <c r="O97" i="5"/>
  <c r="O109" i="5"/>
  <c r="O71" i="5"/>
  <c r="O302" i="5"/>
  <c r="O191" i="5"/>
  <c r="O263" i="5"/>
  <c r="O24" i="5"/>
  <c r="O149" i="5"/>
  <c r="O83" i="5"/>
  <c r="O49" i="5"/>
  <c r="O214" i="5"/>
  <c r="O294" i="5"/>
  <c r="O200" i="5"/>
  <c r="O269" i="5"/>
  <c r="O134" i="5"/>
  <c r="O250" i="5"/>
  <c r="O227" i="5"/>
  <c r="O243" i="5"/>
  <c r="O298" i="5"/>
  <c r="O284" i="5"/>
  <c r="O102" i="5"/>
  <c r="O156" i="5"/>
  <c r="O277" i="5"/>
  <c r="O62" i="5"/>
  <c r="O131" i="5"/>
  <c r="O153" i="5"/>
  <c r="O167" i="5"/>
  <c r="O262" i="5"/>
  <c r="O140" i="5"/>
  <c r="O192" i="5"/>
  <c r="O93" i="5"/>
  <c r="O52" i="5"/>
  <c r="O178" i="5"/>
  <c r="O141" i="5"/>
  <c r="O179" i="5"/>
  <c r="O8" i="5"/>
  <c r="O209" i="5"/>
  <c r="O166" i="5"/>
  <c r="O258" i="5"/>
  <c r="O122" i="5"/>
  <c r="O180" i="5"/>
  <c r="O50" i="5"/>
  <c r="O240" i="5"/>
  <c r="O303" i="5"/>
  <c r="O77" i="5"/>
  <c r="O229" i="5"/>
  <c r="O252" i="5"/>
  <c r="O61" i="5"/>
  <c r="O157" i="5"/>
  <c r="O28" i="5"/>
  <c r="O254" i="5"/>
  <c r="O85" i="5"/>
  <c r="O91" i="5"/>
  <c r="O98" i="5"/>
  <c r="O198" i="5"/>
  <c r="O279" i="5"/>
  <c r="O222" i="5"/>
  <c r="O144" i="5"/>
  <c r="O203" i="5"/>
  <c r="O148" i="5"/>
  <c r="O123" i="5"/>
  <c r="O100" i="5"/>
  <c r="O159" i="5"/>
  <c r="O147" i="5"/>
  <c r="O155" i="5"/>
  <c r="O211" i="5"/>
  <c r="O14" i="5"/>
  <c r="O46" i="5"/>
  <c r="O235" i="5"/>
  <c r="O72" i="5"/>
  <c r="O63" i="5"/>
  <c r="O272" i="5"/>
  <c r="O68" i="5"/>
  <c r="O60" i="5"/>
  <c r="O120" i="5"/>
  <c r="O207" i="5"/>
  <c r="O264" i="5"/>
  <c r="O265" i="5"/>
  <c r="O154" i="5"/>
  <c r="O38" i="5"/>
  <c r="O117" i="5"/>
  <c r="O171" i="5"/>
  <c r="O145" i="5"/>
  <c r="O224" i="5"/>
  <c r="O121" i="5"/>
  <c r="O18" i="5"/>
  <c r="O125" i="5"/>
  <c r="O10" i="5"/>
  <c r="O239" i="5"/>
  <c r="O204" i="5"/>
  <c r="O43" i="5"/>
  <c r="O185" i="5"/>
  <c r="O17" i="5"/>
  <c r="O291" i="5"/>
  <c r="O44" i="5"/>
  <c r="O70" i="5"/>
  <c r="O188" i="5"/>
  <c r="O281" i="5"/>
  <c r="O6" i="5"/>
  <c r="O16" i="5"/>
  <c r="O223" i="5"/>
  <c r="O201" i="5"/>
  <c r="O212" i="5"/>
  <c r="O286" i="5"/>
  <c r="O35" i="5"/>
  <c r="O300" i="5"/>
  <c r="O196" i="5"/>
  <c r="O137" i="5"/>
  <c r="O74" i="5"/>
  <c r="O233" i="5"/>
  <c r="O142" i="5"/>
  <c r="O193" i="5"/>
  <c r="O104" i="5"/>
  <c r="O103" i="5"/>
  <c r="O138" i="5"/>
  <c r="O261" i="5"/>
  <c r="O58" i="5"/>
  <c r="O219" i="5"/>
  <c r="O143" i="5"/>
  <c r="O88" i="5"/>
  <c r="O37" i="5"/>
  <c r="O215" i="5"/>
  <c r="O257" i="5"/>
  <c r="O173" i="5"/>
  <c r="O20" i="5"/>
  <c r="O182" i="5"/>
  <c r="O268" i="5"/>
  <c r="O206" i="5"/>
  <c r="O244" i="5"/>
  <c r="O41" i="5"/>
  <c r="O54" i="5"/>
  <c r="O181" i="5"/>
  <c r="O99" i="5"/>
  <c r="O189" i="5"/>
  <c r="O160" i="5"/>
  <c r="O165" i="5"/>
  <c r="O197" i="5"/>
  <c r="O221" i="5"/>
  <c r="O107" i="5"/>
  <c r="O267" i="5"/>
  <c r="O53" i="5"/>
  <c r="O245" i="5"/>
  <c r="O248" i="5"/>
  <c r="O230" i="5"/>
  <c r="O292" i="5"/>
  <c r="O174" i="5"/>
  <c r="O220" i="5"/>
  <c r="O170" i="5"/>
  <c r="O64" i="5"/>
  <c r="O151" i="5"/>
  <c r="O164" i="5"/>
  <c r="O32" i="5"/>
  <c r="O226" i="5"/>
  <c r="O55" i="5"/>
  <c r="O26" i="5"/>
  <c r="O275" i="5"/>
  <c r="O9" i="5"/>
  <c r="O216" i="5"/>
  <c r="O11" i="5"/>
  <c r="O187" i="5"/>
  <c r="O101" i="5"/>
  <c r="O136" i="5"/>
  <c r="O59" i="5"/>
  <c r="O42" i="5"/>
  <c r="O67" i="5"/>
  <c r="O278" i="5"/>
  <c r="O36" i="5"/>
  <c r="O232" i="5"/>
  <c r="O259" i="5"/>
  <c r="O95" i="5"/>
  <c r="O133" i="5"/>
  <c r="O116" i="5"/>
  <c r="O40" i="5"/>
  <c r="O289" i="5"/>
  <c r="O297" i="5"/>
  <c r="O19" i="5"/>
  <c r="O89" i="5"/>
  <c r="O29" i="5"/>
  <c r="O282" i="5"/>
  <c r="O163" i="5"/>
  <c r="O115" i="5"/>
  <c r="O113" i="5"/>
  <c r="O48" i="5"/>
  <c r="O241" i="5"/>
  <c r="O25" i="5"/>
  <c r="O199" i="5"/>
  <c r="O65" i="5"/>
  <c r="O184" i="5"/>
  <c r="O295" i="5"/>
  <c r="O81" i="5"/>
  <c r="O225" i="5"/>
  <c r="O237" i="5"/>
  <c r="O217" i="5"/>
  <c r="O76" i="5"/>
  <c r="O75" i="5"/>
  <c r="O260" i="5"/>
  <c r="O45" i="5"/>
  <c r="O253" i="5"/>
  <c r="O39" i="5"/>
  <c r="O92" i="5"/>
  <c r="O106" i="5"/>
  <c r="O271" i="5"/>
  <c r="O183" i="5"/>
  <c r="O119" i="5"/>
  <c r="O238" i="5"/>
  <c r="O56" i="5"/>
  <c r="O293" i="5"/>
  <c r="O129" i="5"/>
  <c r="O110" i="5"/>
  <c r="O139" i="5"/>
  <c r="O210" i="5"/>
  <c r="O132" i="5"/>
  <c r="O208" i="5"/>
  <c r="O152" i="5"/>
  <c r="O118" i="5"/>
  <c r="O172" i="5"/>
  <c r="O7" i="5"/>
  <c r="O47" i="5"/>
  <c r="O288" i="5"/>
  <c r="O105" i="5"/>
  <c r="O33" i="5"/>
  <c r="O168" i="5"/>
  <c r="O150" i="5"/>
  <c r="O135" i="5"/>
  <c r="O255" i="5"/>
  <c r="O86" i="5"/>
  <c r="O80" i="5"/>
  <c r="O111" i="5"/>
  <c r="O228" i="5"/>
  <c r="O27" i="5"/>
  <c r="O202" i="5"/>
  <c r="O31" i="5"/>
  <c r="O108" i="5"/>
  <c r="O247" i="5"/>
  <c r="O175" i="5"/>
  <c r="O218" i="5"/>
  <c r="O158" i="5"/>
  <c r="O290" i="5"/>
  <c r="O12" i="5"/>
  <c r="O96" i="5"/>
  <c r="O82" i="5"/>
  <c r="O73" i="5"/>
  <c r="O23" i="5"/>
  <c r="O256" i="5"/>
  <c r="O34" i="5"/>
  <c r="O234" i="5"/>
  <c r="O236" i="5"/>
  <c r="O90" i="5"/>
  <c r="O15" i="5"/>
  <c r="O190" i="5"/>
  <c r="O124" i="5"/>
  <c r="O169" i="5"/>
  <c r="O30" i="5"/>
  <c r="O194" i="5"/>
  <c r="O285" i="5"/>
  <c r="O296" i="5"/>
  <c r="O176" i="5"/>
  <c r="O127" i="5"/>
  <c r="O246" i="5"/>
  <c r="O161" i="5"/>
  <c r="O249" i="5"/>
  <c r="O130" i="5"/>
  <c r="O270" i="5"/>
  <c r="O51" i="5"/>
  <c r="O78" i="5"/>
  <c r="O21" i="5"/>
  <c r="O146" i="5"/>
  <c r="O273" i="5"/>
  <c r="O283" i="5"/>
  <c r="O186" i="5"/>
  <c r="O79" i="5"/>
  <c r="O69" i="5"/>
  <c r="O231" i="5"/>
  <c r="O126" i="5"/>
  <c r="O94" i="5"/>
  <c r="O299" i="5"/>
  <c r="O177" i="5"/>
  <c r="O301" i="5"/>
  <c r="O213" i="5"/>
  <c r="O251" i="5"/>
  <c r="O266" i="5"/>
  <c r="O162" i="5"/>
  <c r="O22" i="5"/>
  <c r="O280" i="5"/>
  <c r="O287" i="5"/>
  <c r="O195" i="5"/>
  <c r="O66" i="5"/>
  <c r="O57" i="5"/>
  <c r="O276" i="5"/>
  <c r="O242" i="5"/>
  <c r="O112" i="5"/>
  <c r="O205" i="5"/>
  <c r="O274" i="5"/>
  <c r="O13" i="5"/>
  <c r="O114" i="5"/>
  <c r="O128" i="5"/>
  <c r="O84" i="5"/>
  <c r="N84" i="5"/>
</calcChain>
</file>

<file path=xl/sharedStrings.xml><?xml version="1.0" encoding="utf-8"?>
<sst xmlns="http://schemas.openxmlformats.org/spreadsheetml/2006/main" count="4787" uniqueCount="235">
  <si>
    <t>🧾 Marketing Campaign Performance Analysis Dashboard</t>
  </si>
  <si>
    <t>Section</t>
  </si>
  <si>
    <t>Details</t>
  </si>
  <si>
    <t>Project Title</t>
  </si>
  <si>
    <t>Marketing Campaign Performance Analysis</t>
  </si>
  <si>
    <t>Client / Company</t>
  </si>
  <si>
    <t>AdNova Marketing Solutions (Fictional)</t>
  </si>
  <si>
    <t>Objective</t>
  </si>
  <si>
    <t>Analyze multi-platform ad performance to measure ROI, identify cost efficiency, and evaluate audience engagement trends.</t>
  </si>
  <si>
    <t>Dataset Info</t>
  </si>
  <si>
    <t>300-record marketing dataset with 12 fields across 4 platforms and 5 regions.</t>
  </si>
  <si>
    <t>Time Period</t>
  </si>
  <si>
    <t>April 2025 – October 2025</t>
  </si>
  <si>
    <t>Tools Used</t>
  </si>
  <si>
    <t>Microsoft Excel (PivotTables, Data Cleaning, Charts, Dashboard)</t>
  </si>
  <si>
    <t>Steps Followed</t>
  </si>
  <si>
    <t>Data Cleaning → Data Processing → Pivot Analysis → KPI Creation → Dashboard Visualization → Insights</t>
  </si>
  <si>
    <t>Deliverables</t>
  </si>
  <si>
    <t>Cleaned Dataset • Processed KPIs • Interactive Dashboard • Business Insights Report</t>
  </si>
  <si>
    <t>Your Role</t>
  </si>
  <si>
    <t>Data Cleaning, Analysis, Visualization &amp; Insight Generation</t>
  </si>
  <si>
    <r>
      <rPr>
        <sz val="11"/>
        <color rgb="FF000000"/>
        <rFont val="Aptos Narrow"/>
        <scheme val="minor"/>
      </rPr>
      <t xml:space="preserve">📌 </t>
    </r>
    <r>
      <rPr>
        <b/>
        <sz val="11"/>
        <color rgb="FF000000"/>
        <rFont val="Aptos Narrow"/>
        <scheme val="minor"/>
      </rPr>
      <t xml:space="preserve">Project Summary
</t>
    </r>
    <r>
      <rPr>
        <sz val="11"/>
        <color rgb="FF000000"/>
        <rFont val="Aptos Narrow"/>
        <scheme val="minor"/>
      </rPr>
      <t>This Excel project analyzes paid marketing campaign performance for AdNova Marketing Solutions across Google, Meta, LinkedIn, and YouTube. It evaluates ad spend efficiency, ROI patterns, cost per click, audience engagement, and regional conversions.
The goal is to identify the strongest platforms, highlight performance gaps, and provide data-backed insights to optimize future ad budgets.</t>
    </r>
  </si>
  <si>
    <t>📅 Created by Aashka — November 2025</t>
  </si>
  <si>
    <t>Marketing Campaign Raw Data</t>
  </si>
  <si>
    <t>This sheet contains the raw marketing campaign data provided by the client before cleaning or analysis.</t>
  </si>
  <si>
    <t>Platform</t>
  </si>
  <si>
    <t>Region</t>
  </si>
  <si>
    <t>Device</t>
  </si>
  <si>
    <t>ad_type</t>
  </si>
  <si>
    <t>impressions</t>
  </si>
  <si>
    <t>clicks</t>
  </si>
  <si>
    <t>conversions</t>
  </si>
  <si>
    <t>spend_inr</t>
  </si>
  <si>
    <t>revenue_inr</t>
  </si>
  <si>
    <t>likes</t>
  </si>
  <si>
    <t>comments</t>
  </si>
  <si>
    <t>shares</t>
  </si>
  <si>
    <t>Meta</t>
  </si>
  <si>
    <t>Awareness</t>
  </si>
  <si>
    <t>East</t>
  </si>
  <si>
    <t>Desktop</t>
  </si>
  <si>
    <t>Carousel</t>
  </si>
  <si>
    <t>LinkedIn</t>
  </si>
  <si>
    <t>Traffic</t>
  </si>
  <si>
    <t>Leads</t>
  </si>
  <si>
    <t>West</t>
  </si>
  <si>
    <t>Mobile</t>
  </si>
  <si>
    <t>Image</t>
  </si>
  <si>
    <t>Sales</t>
  </si>
  <si>
    <t>South</t>
  </si>
  <si>
    <t>Video</t>
  </si>
  <si>
    <t>YouTube</t>
  </si>
  <si>
    <t>Google</t>
  </si>
  <si>
    <t>Display</t>
  </si>
  <si>
    <t>Central</t>
  </si>
  <si>
    <t>North</t>
  </si>
  <si>
    <t>SearchAd</t>
  </si>
  <si>
    <t>central</t>
  </si>
  <si>
    <t>meta</t>
  </si>
  <si>
    <t>desktop</t>
  </si>
  <si>
    <t>video</t>
  </si>
  <si>
    <t>google</t>
  </si>
  <si>
    <t>traffic</t>
  </si>
  <si>
    <t>Marketing Campaign Cleaned Data</t>
  </si>
  <si>
    <t>Cleaned dataset after handling blanks, standardizing categories, and validating logical conditions.</t>
  </si>
  <si>
    <t>Other</t>
  </si>
  <si>
    <t>Unknown</t>
  </si>
  <si>
    <t>Not Specified</t>
  </si>
  <si>
    <t>Prepared by Aashka — for portfolio demonstration purposes (November 2025)</t>
  </si>
  <si>
    <t>🔧 Data Cleaning Summary</t>
  </si>
  <si>
    <r>
      <rPr>
        <b/>
        <sz val="12"/>
        <color rgb="FF000000"/>
        <rFont val="Aptos Narrow"/>
        <scheme val="minor"/>
      </rPr>
      <t xml:space="preserve">Purpose:
</t>
    </r>
    <r>
      <rPr>
        <sz val="12"/>
        <color rgb="FF000000"/>
        <rFont val="Aptos Narrow"/>
        <scheme val="minor"/>
      </rPr>
      <t>To ensure the raw marketing dataset was accurate, consistent, and analysis-ready by fixing missing values, formatting issues, standardization problems, and identifying outliers.</t>
    </r>
  </si>
  <si>
    <t xml:space="preserve"> Category</t>
  </si>
  <si>
    <t>Issue Found</t>
  </si>
  <si>
    <t>Action Taken</t>
  </si>
  <si>
    <t>Blank Value Handling</t>
  </si>
  <si>
    <t>Reasoning</t>
  </si>
  <si>
    <t>Few blanks &amp; inconsistent casing</t>
  </si>
  <si>
    <t>Standardized naming (Google, Meta, LinkedIn, YouTube)</t>
  </si>
  <si>
    <t>Blanks → “Unknown”</t>
  </si>
  <si>
    <t>Ensures consistent grouping in analysis</t>
  </si>
  <si>
    <t>Missing / mixed formats</t>
  </si>
  <si>
    <t>Standardized category labels</t>
  </si>
  <si>
    <t>Blanks → “Not Specified”</t>
  </si>
  <si>
    <t>Clear segmentation of campaign goals</t>
  </si>
  <si>
    <t>Missing entries</t>
  </si>
  <si>
    <t>Standardized region names</t>
  </si>
  <si>
    <t>Prevents region-level gaps</t>
  </si>
  <si>
    <t>Uneven naming</t>
  </si>
  <si>
    <t>Unified values (Mobile, Desktop, Tablet)</t>
  </si>
  <si>
    <t>Accurate device-level comparison</t>
  </si>
  <si>
    <t>Ad_Type</t>
  </si>
  <si>
    <t>Minor inconsistencies</t>
  </si>
  <si>
    <t>Cleaned naming (Image, Video, Carousel)</t>
  </si>
  <si>
    <t>Blanks → “Other”</t>
  </si>
  <si>
    <t>Avoids empty categories</t>
  </si>
  <si>
    <t>Impressions</t>
  </si>
  <si>
    <t>Blank numeric cells</t>
  </si>
  <si>
    <t>Converted to numeric</t>
  </si>
  <si>
    <t>Blanks → 0</t>
  </si>
  <si>
    <t>Zero = no delivery</t>
  </si>
  <si>
    <t>Clicks</t>
  </si>
  <si>
    <t>Blank entries</t>
  </si>
  <si>
    <t>Zero engagement</t>
  </si>
  <si>
    <t>Conversions</t>
  </si>
  <si>
    <t>Missing numeric values</t>
  </si>
  <si>
    <t>Fixed numeric format</t>
  </si>
  <si>
    <t>Required for conversion rate</t>
  </si>
  <si>
    <t>Spend_INR</t>
  </si>
  <si>
    <t>Missing spend values</t>
  </si>
  <si>
    <t>Validated currency format</t>
  </si>
  <si>
    <t>No spend = inactive campaign</t>
  </si>
  <si>
    <t>Revenue_INR</t>
  </si>
  <si>
    <t>Missing revenue</t>
  </si>
  <si>
    <t>Standardized numeric format</t>
  </si>
  <si>
    <t>Required for ROI</t>
  </si>
  <si>
    <t>Likes / Comments / Shares</t>
  </si>
  <si>
    <t>Missing engagement values</t>
  </si>
  <si>
    <t>Ensures accurate engagement metrics</t>
  </si>
  <si>
    <t>Summary of Cleaning Steps:</t>
  </si>
  <si>
    <t>1. Removed duplicate rows</t>
  </si>
  <si>
    <t>2. Standardized all text columns (casing, spelling, naming categories)</t>
  </si>
  <si>
    <r>
      <rPr>
        <sz val="12"/>
        <color rgb="FF000000"/>
        <rFont val="Aptos Narrow"/>
        <scheme val="minor"/>
      </rPr>
      <t xml:space="preserve">3. Replaced all numeric blanks with </t>
    </r>
    <r>
      <rPr>
        <b/>
        <sz val="11"/>
        <color rgb="FF000000"/>
        <rFont val="Aptos Narrow"/>
        <scheme val="minor"/>
      </rPr>
      <t>0</t>
    </r>
  </si>
  <si>
    <r>
      <rPr>
        <sz val="12"/>
        <color rgb="FF000000"/>
        <rFont val="Aptos Narrow"/>
        <scheme val="minor"/>
      </rPr>
      <t xml:space="preserve">4. Replaced all text blanks with </t>
    </r>
    <r>
      <rPr>
        <b/>
        <sz val="11"/>
        <color rgb="FF000000"/>
        <rFont val="Aptos Narrow"/>
        <scheme val="minor"/>
      </rPr>
      <t>“Unknown” / “Not Specified” / “Other”</t>
    </r>
  </si>
  <si>
    <t>5. Verified numeric consistency (Spend, Revenue, Impressions, Clicks)</t>
  </si>
  <si>
    <t>6. Ensured logical correctness (Clicks ≤ Impressions, Conversions ≤ Clicks)</t>
  </si>
  <si>
    <t>7. Identified and flagged one extreme revenue outlier</t>
  </si>
  <si>
    <t>Before vs After Data Cleaning Summary</t>
  </si>
  <si>
    <t>Aspect</t>
  </si>
  <si>
    <t>Before Cleaning</t>
  </si>
  <si>
    <t>After Cleaning</t>
  </si>
  <si>
    <t>Total Rows</t>
  </si>
  <si>
    <t>Duplicates</t>
  </si>
  <si>
    <t>None significant</t>
  </si>
  <si>
    <t>Clean</t>
  </si>
  <si>
    <t>Missing Values</t>
  </si>
  <si>
    <t>Present in multiple columns</t>
  </si>
  <si>
    <t>All handled logically</t>
  </si>
  <si>
    <t>Inconsistent Text</t>
  </si>
  <si>
    <t>Multiple casing variations</t>
  </si>
  <si>
    <t>Fully standardized</t>
  </si>
  <si>
    <t>Logical Errors</t>
  </si>
  <si>
    <t>Possible (e.g., blank numeric fields)</t>
  </si>
  <si>
    <t>Corrected</t>
  </si>
  <si>
    <t>Blank Categories</t>
  </si>
  <si>
    <t>Found in Platform, Region, Objective</t>
  </si>
  <si>
    <t>Replaced appropriately</t>
  </si>
  <si>
    <t>Number Formatting</t>
  </si>
  <si>
    <t>Mixed formats</t>
  </si>
  <si>
    <t>Clean &amp; consistent</t>
  </si>
  <si>
    <t>Outlier Check</t>
  </si>
  <si>
    <t>Revenue had 1 extreme value</t>
  </si>
  <si>
    <t>Flagged for analysis</t>
  </si>
  <si>
    <t>Outlier Handling</t>
  </si>
  <si>
    <t>Cleaning Step</t>
  </si>
  <si>
    <t>Issue Identified</t>
  </si>
  <si>
    <t>Result</t>
  </si>
  <si>
    <t>Revenue Outlier Check</t>
  </si>
  <si>
    <t>One unusually high revenue value (~₹1,89,550) detected</t>
  </si>
  <si>
    <t>Flagged for awareness; excluded from ROI pivots</t>
  </si>
  <si>
    <t>Prevented distortion in ROI results</t>
  </si>
  <si>
    <t>Note:
One revenue entry (~₹1,89,550) was identified as an extreme outlier and excluded only from ROI calculations to maintain accurate platform comparisons.</t>
  </si>
  <si>
    <r>
      <rPr>
        <b/>
        <sz val="18"/>
        <color rgb="FFFFFFFF"/>
        <rFont val="Aptos Narrow"/>
        <scheme val="minor"/>
      </rPr>
      <t xml:space="preserve">                                                                                                                                                                                  </t>
    </r>
    <r>
      <rPr>
        <b/>
        <u/>
        <sz val="18"/>
        <color rgb="FFFFFFFF"/>
        <rFont val="Aptos Narrow"/>
        <scheme val="minor"/>
      </rPr>
      <t>Processed Data</t>
    </r>
  </si>
  <si>
    <t>Processed Data</t>
  </si>
  <si>
    <t>Derived performance metrics (CPM, CTR, CPC, Conversion Rate, ROI, Engagement Rate) to prepare the dataset for pivot analysis and dashboard insights.</t>
  </si>
  <si>
    <t>CPM</t>
  </si>
  <si>
    <t>CTR</t>
  </si>
  <si>
    <t>CPC</t>
  </si>
  <si>
    <t>Conversion_Rate</t>
  </si>
  <si>
    <t xml:space="preserve"> ROI</t>
  </si>
  <si>
    <t>Engagement_Rate</t>
  </si>
  <si>
    <t>Outlier_Flag</t>
  </si>
  <si>
    <t>Outlier</t>
  </si>
  <si>
    <r>
      <rPr>
        <b/>
        <u/>
        <sz val="24"/>
        <color rgb="FFFFFFFF"/>
        <rFont val="Aptos Narrow"/>
        <scheme val="minor"/>
      </rPr>
      <t>Pivot</t>
    </r>
    <r>
      <rPr>
        <b/>
        <sz val="24"/>
        <color rgb="FFFFFFFF"/>
        <rFont val="Aptos Narrow"/>
        <scheme val="minor"/>
      </rPr>
      <t xml:space="preserve"> </t>
    </r>
    <r>
      <rPr>
        <b/>
        <u/>
        <sz val="24"/>
        <color rgb="FFFFFFFF"/>
        <rFont val="Aptos Narrow"/>
        <scheme val="minor"/>
      </rPr>
      <t>Analysis</t>
    </r>
  </si>
  <si>
    <t>ROI values shown exclude outliers for accurate comparison.</t>
  </si>
  <si>
    <t>(blank)</t>
  </si>
  <si>
    <t>Average of  ROI</t>
  </si>
  <si>
    <r>
      <rPr>
        <b/>
        <sz val="11"/>
        <color rgb="FF000000"/>
        <rFont val="Aptos Narrow"/>
        <scheme val="minor"/>
      </rPr>
      <t>Insight:</t>
    </r>
    <r>
      <rPr>
        <sz val="11"/>
        <color rgb="FF000000"/>
        <rFont val="Aptos Narrow"/>
        <scheme val="minor"/>
      </rPr>
      <t xml:space="preserve"> Google delivered the highest ROI (~785%), significantly outperforming all other platforms. Meta also achieved strong profitability (~212%). LinkedIn and YouTube generated much lower ROI, indicating weaker revenue efficiency. One extreme outlier was excluded to avoid inflated ROI results.</t>
    </r>
  </si>
  <si>
    <t>Platform-wise Spend vs Revenue distribution.</t>
  </si>
  <si>
    <t>Sum of spend_inr</t>
  </si>
  <si>
    <t>Sum of revenue_inr</t>
  </si>
  <si>
    <r>
      <rPr>
        <b/>
        <sz val="11"/>
        <color rgb="FF000000"/>
        <rFont val="Aptos Narrow"/>
        <scheme val="minor"/>
      </rPr>
      <t>Insight:</t>
    </r>
    <r>
      <rPr>
        <sz val="11"/>
        <color rgb="FF000000"/>
        <rFont val="Aptos Narrow"/>
        <scheme val="minor"/>
      </rPr>
      <t xml:space="preserve"> Google delivered exceptionally high revenue compared to spend, significantly outperforming other platforms. Meta also generated strong returns, while LinkedIn and YouTube showed weaker efficiency.</t>
    </r>
  </si>
  <si>
    <t>Average CPC by platform (cost efficiency comparison).</t>
  </si>
  <si>
    <t>Average of CPC</t>
  </si>
  <si>
    <r>
      <rPr>
        <b/>
        <sz val="11"/>
        <color rgb="FF000000"/>
        <rFont val="Aptos Narrow"/>
        <scheme val="minor"/>
      </rPr>
      <t>Insight:</t>
    </r>
    <r>
      <rPr>
        <sz val="11"/>
        <color rgb="FF000000"/>
        <rFont val="Aptos Narrow"/>
        <scheme val="minor"/>
      </rPr>
      <t xml:space="preserve"> Google delivered the lowest CPC (₹6.68), making it the most cost-efficient platform. LinkedIn recorded the highest CPC (₹22.60), indicating higher acquisition costs relative to other platforms.</t>
    </r>
  </si>
  <si>
    <t>Conversion Rate by Campaign Objective.</t>
  </si>
  <si>
    <t>Average of Conversion_Rate</t>
  </si>
  <si>
    <r>
      <rPr>
        <b/>
        <sz val="11"/>
        <color rgb="FF000000"/>
        <rFont val="Aptos Narrow"/>
        <scheme val="minor"/>
      </rPr>
      <t>Insight:</t>
    </r>
    <r>
      <rPr>
        <sz val="11"/>
        <color rgb="FF000000"/>
        <rFont val="Aptos Narrow"/>
        <scheme val="minor"/>
      </rPr>
      <t xml:space="preserve"> Sales-focused campaigns achieved the highest conversion rate (2.16%), while Lead-focused campaigns performed the weakest (1.97%). ‘Not Specified’ objective was excluded due to unclear classification.</t>
    </r>
  </si>
  <si>
    <t>Average engagement rate by platform (audience interaction comparison).</t>
  </si>
  <si>
    <t>Average of Engagement_Rate</t>
  </si>
  <si>
    <r>
      <rPr>
        <b/>
        <sz val="11"/>
        <color rgb="FF000000"/>
        <rFont val="Aptos Narrow"/>
        <scheme val="minor"/>
      </rPr>
      <t xml:space="preserve">Insight: </t>
    </r>
    <r>
      <rPr>
        <sz val="11"/>
        <color rgb="FF000000"/>
        <rFont val="Aptos Narrow"/>
        <scheme val="minor"/>
      </rPr>
      <t>Meta recorded the highest engagement rate (0.65%), driven by interactive ad formats. Google shows 0% engagement, which is expected since Google Search ads do not support likes, comments, or shares.</t>
    </r>
  </si>
  <si>
    <t>Total conversions generated by region.</t>
  </si>
  <si>
    <t>Sum of conversions</t>
  </si>
  <si>
    <r>
      <rPr>
        <b/>
        <sz val="11"/>
        <color rgb="FF000000"/>
        <rFont val="Aptos Narrow"/>
        <scheme val="minor"/>
      </rPr>
      <t>Insight:</t>
    </r>
    <r>
      <rPr>
        <sz val="11"/>
        <color rgb="FF000000"/>
        <rFont val="Aptos Narrow"/>
        <scheme val="minor"/>
      </rPr>
      <t xml:space="preserve"> South and East regions generated the highest conversions, indicating strong audience response. West performed the weakest, while ‘Unknown’ entries were excluded as they do not represent a meaningful region category.</t>
    </r>
  </si>
  <si>
    <t>Marketing Campaign Performance Dashboard</t>
  </si>
  <si>
    <t>Total Spend</t>
  </si>
  <si>
    <t>Total Revenue</t>
  </si>
  <si>
    <t>ROI</t>
  </si>
  <si>
    <t>Average CPC</t>
  </si>
  <si>
    <t>₹ 1,602,465</t>
  </si>
  <si>
    <t>₹ 5,296,629</t>
  </si>
  <si>
    <t>₹ 14.92</t>
  </si>
  <si>
    <t>Insight: Google delivers the highest ROI (~785%), making it the most profitable platform overall.</t>
  </si>
  <si>
    <t xml:space="preserve">Insight: Google generates the highest revenue despite moderate spend, while LinkedIn shows high spend with weaker returns.						
						</t>
  </si>
  <si>
    <t xml:space="preserve">Insight: Google has the lowest CPC, while LinkedIn is the most expensive platform for clicks.						</t>
  </si>
  <si>
    <t xml:space="preserve">Insight: Meta shows the highest engagement rate (~0.65%), while Google has zero engagement since search ads do not support likes or shares.						
						</t>
  </si>
  <si>
    <t xml:space="preserve">"Insight: South and East regions generated the highest conversions, indicating strong audience response. West performed the weakest among all regions.
"						
						</t>
  </si>
  <si>
    <t xml:space="preserve">Created by Aashka Tanvi | Excel Dashboard | 2025
</t>
  </si>
  <si>
    <t>📊 Insights &amp; Recommendations</t>
  </si>
  <si>
    <r>
      <rPr>
        <b/>
        <sz val="11"/>
        <color rgb="FF000000"/>
        <rFont val="Aptos Narrow"/>
        <scheme val="minor"/>
      </rPr>
      <t xml:space="preserve">Executive Summary:
</t>
    </r>
    <r>
      <rPr>
        <i/>
        <sz val="11"/>
        <color rgb="FF000000"/>
        <rFont val="Aptos Narrow"/>
        <scheme val="minor"/>
      </rPr>
      <t>Google is the strongest ROI driver, Meta dominates engagement, and South/East regions deliver the best conversion performance. Future budgets should prioritize Google for performance, Meta for engagement, and reduce spend on LinkedIn and YouTube.</t>
    </r>
  </si>
  <si>
    <t>1️⃣ Platform Performance Insights</t>
  </si>
  <si>
    <r>
      <rPr>
        <b/>
        <sz val="13.5"/>
        <color rgb="FF000000"/>
        <rFont val="Aptos Narrow"/>
        <scheme val="minor"/>
      </rPr>
      <t xml:space="preserve">A. Google delivered the strongest ROI (785%)
</t>
    </r>
    <r>
      <rPr>
        <sz val="11"/>
        <color rgb="FF000000"/>
        <rFont val="Aptos Narrow"/>
        <scheme val="minor"/>
      </rPr>
      <t xml:space="preserve">• High revenue with moderate spend
• Cost-efficient CPC (₹6.68)
• Best overall profitability
</t>
    </r>
    <r>
      <rPr>
        <b/>
        <sz val="11"/>
        <color rgb="FF000000"/>
        <rFont val="Aptos Narrow"/>
        <scheme val="minor"/>
      </rPr>
      <t xml:space="preserve">
💡 Recommendation:</t>
    </r>
    <r>
      <rPr>
        <b/>
        <i/>
        <sz val="11"/>
        <color rgb="FF000000"/>
        <rFont val="Aptos Narrow"/>
        <scheme val="minor"/>
      </rPr>
      <t xml:space="preserve"> </t>
    </r>
    <r>
      <rPr>
        <i/>
        <sz val="11"/>
        <color rgb="FF000000"/>
        <rFont val="Aptos Narrow"/>
        <scheme val="minor"/>
      </rPr>
      <t>Increase Google’s budget allocation in future campaigns.</t>
    </r>
  </si>
  <si>
    <r>
      <rPr>
        <b/>
        <sz val="13.5"/>
        <color rgb="FF000000"/>
        <rFont val="Aptos Narrow"/>
        <scheme val="minor"/>
      </rPr>
      <t xml:space="preserve">B. Meta achieved the highest engagement rate (0.65%)
</t>
    </r>
    <r>
      <rPr>
        <sz val="11"/>
        <color rgb="FF000000"/>
        <rFont val="Aptos Narrow"/>
        <scheme val="minor"/>
      </rPr>
      <t xml:space="preserve">• Strong likes, comments, and shares
• Solid awareness performance
• Moderate ROI but excellent top-funnel impact
💡 </t>
    </r>
    <r>
      <rPr>
        <b/>
        <sz val="11"/>
        <color rgb="FF000000"/>
        <rFont val="Aptos Narrow"/>
        <scheme val="minor"/>
      </rPr>
      <t>Recommendation:</t>
    </r>
    <r>
      <rPr>
        <i/>
        <sz val="11"/>
        <color rgb="FF000000"/>
        <rFont val="Aptos Narrow"/>
        <scheme val="minor"/>
      </rPr>
      <t xml:space="preserve"> Use Meta for awareness and engagement-focused campaigns.</t>
    </r>
  </si>
  <si>
    <r>
      <rPr>
        <b/>
        <sz val="13.5"/>
        <color rgb="FF000000"/>
        <rFont val="Aptos Narrow"/>
        <scheme val="minor"/>
      </rPr>
      <t xml:space="preserve">C. LinkedIn showed the highest CPC (₹22.60)
</t>
    </r>
    <r>
      <rPr>
        <sz val="11"/>
        <color rgb="FF000000"/>
        <rFont val="Aptos Narrow"/>
        <scheme val="minor"/>
      </rPr>
      <t xml:space="preserve">• Most expensive platform for clicks
• ROI lower compared to Google
• Useful for professional niche or B2B targeting
</t>
    </r>
    <r>
      <rPr>
        <b/>
        <sz val="13.5"/>
        <color rgb="FF000000"/>
        <rFont val="Aptos Narrow"/>
        <scheme val="minor"/>
      </rPr>
      <t xml:space="preserve">
</t>
    </r>
    <r>
      <rPr>
        <b/>
        <sz val="11"/>
        <color rgb="FF000000"/>
        <rFont val="Aptos Narrow"/>
        <scheme val="minor"/>
      </rPr>
      <t>💡 Recommendation:</t>
    </r>
    <r>
      <rPr>
        <i/>
        <sz val="11"/>
        <color rgb="FF000000"/>
        <rFont val="Aptos Narrow"/>
        <scheme val="minor"/>
      </rPr>
      <t xml:space="preserve"> Allocate LinkedIn budget only for high-value or B2B audiences.</t>
    </r>
  </si>
  <si>
    <r>
      <rPr>
        <b/>
        <sz val="13.5"/>
        <color rgb="FF000000"/>
        <rFont val="Aptos Narrow"/>
        <scheme val="minor"/>
      </rPr>
      <t xml:space="preserve">D. YouTube delivered the weakest ROI (20%)
</t>
    </r>
    <r>
      <rPr>
        <sz val="11"/>
        <color rgb="FF000000"/>
        <rFont val="Aptos Narrow"/>
        <scheme val="minor"/>
      </rPr>
      <t>• Relatively high CPC
• Low conversion impact
• Moderate engagement but lower revenue return
💡</t>
    </r>
    <r>
      <rPr>
        <b/>
        <sz val="11"/>
        <color rgb="FF000000"/>
        <rFont val="Aptos Narrow"/>
        <scheme val="minor"/>
      </rPr>
      <t xml:space="preserve"> Recommendation:</t>
    </r>
    <r>
      <rPr>
        <sz val="11"/>
        <color rgb="FF000000"/>
        <rFont val="Aptos Narrow"/>
        <scheme val="minor"/>
      </rPr>
      <t xml:space="preserve"> </t>
    </r>
    <r>
      <rPr>
        <i/>
        <sz val="11"/>
        <color rgb="FF000000"/>
        <rFont val="Aptos Narrow"/>
        <scheme val="minor"/>
      </rPr>
      <t>Reduce YouTube spend unless running branding or video-focused campaigns.</t>
    </r>
  </si>
  <si>
    <t>2️⃣ Regional Performance Insights</t>
  </si>
  <si>
    <r>
      <rPr>
        <b/>
        <sz val="13.5"/>
        <color rgb="FF000000"/>
        <rFont val="Aptos Narrow"/>
        <scheme val="minor"/>
      </rPr>
      <t xml:space="preserve">A. South region generated the highest conversions (1241)
</t>
    </r>
    <r>
      <rPr>
        <sz val="11"/>
        <color rgb="FF000000"/>
        <rFont val="Aptos Narrow"/>
        <scheme val="minor"/>
      </rPr>
      <t xml:space="preserve">• Strong campaign response
• High-quality audience engagement
• Most effective region for performance campaigns
</t>
    </r>
    <r>
      <rPr>
        <b/>
        <sz val="13.5"/>
        <color rgb="FF000000"/>
        <rFont val="Aptos Narrow"/>
        <scheme val="minor"/>
      </rPr>
      <t xml:space="preserve">
</t>
    </r>
    <r>
      <rPr>
        <b/>
        <sz val="11"/>
        <color rgb="FF000000"/>
        <rFont val="Aptos Narrow"/>
        <scheme val="minor"/>
      </rPr>
      <t>💡 Recommendation:</t>
    </r>
    <r>
      <rPr>
        <i/>
        <sz val="11"/>
        <color rgb="FF000000"/>
        <rFont val="Aptos Narrow"/>
        <scheme val="minor"/>
      </rPr>
      <t xml:space="preserve"> Increase spend allocation in South for future conversion campaigns.</t>
    </r>
  </si>
  <si>
    <r>
      <rPr>
        <b/>
        <sz val="13.5"/>
        <color rgb="FF000000"/>
        <rFont val="Aptos Narrow"/>
        <scheme val="minor"/>
      </rPr>
      <t xml:space="preserve">B. East region performed consistently well (1146 conversions)
</t>
    </r>
    <r>
      <rPr>
        <sz val="11"/>
        <color rgb="FF000000"/>
        <rFont val="Aptos Narrow"/>
        <scheme val="minor"/>
      </rPr>
      <t xml:space="preserve">• Strong conversion volume
• Good cost-efficiency indicators
</t>
    </r>
    <r>
      <rPr>
        <b/>
        <sz val="11"/>
        <color rgb="FF000000"/>
        <rFont val="Aptos Narrow"/>
        <scheme val="minor"/>
      </rPr>
      <t>💡 Recommendation:</t>
    </r>
    <r>
      <rPr>
        <sz val="11"/>
        <color rgb="FF000000"/>
        <rFont val="Aptos Narrow"/>
        <scheme val="minor"/>
      </rPr>
      <t xml:space="preserve"> </t>
    </r>
    <r>
      <rPr>
        <i/>
        <sz val="11"/>
        <color rgb="FF000000"/>
        <rFont val="Aptos Narrow"/>
        <scheme val="minor"/>
      </rPr>
      <t>Continue investing in East with optimized targeting.</t>
    </r>
  </si>
  <si>
    <r>
      <rPr>
        <b/>
        <sz val="13.5"/>
        <color rgb="FF000000"/>
        <rFont val="Aptos Narrow"/>
        <scheme val="minor"/>
      </rPr>
      <t xml:space="preserve">C. North &amp; Central regions delivered moderate conversions (947 &amp; 934)
</t>
    </r>
    <r>
      <rPr>
        <sz val="11"/>
        <color rgb="FF000000"/>
        <rFont val="Aptos Narrow"/>
        <scheme val="minor"/>
      </rPr>
      <t xml:space="preserve">• Average performance
• Stable but not high-impact regions
</t>
    </r>
    <r>
      <rPr>
        <b/>
        <sz val="11"/>
        <color rgb="FF000000"/>
        <rFont val="Aptos Narrow"/>
        <scheme val="minor"/>
      </rPr>
      <t xml:space="preserve">
💡 Recommendation: </t>
    </r>
    <r>
      <rPr>
        <i/>
        <sz val="11"/>
        <color rgb="FF000000"/>
        <rFont val="Aptos Narrow"/>
        <scheme val="minor"/>
      </rPr>
      <t>Maintain moderate budget allocation with targeted creatives.</t>
    </r>
  </si>
  <si>
    <r>
      <rPr>
        <b/>
        <sz val="13.5"/>
        <color rgb="FF000000"/>
        <rFont val="Aptos Narrow"/>
        <scheme val="minor"/>
      </rPr>
      <t xml:space="preserve">D. West region underperformed (817 conversions)
</t>
    </r>
    <r>
      <rPr>
        <sz val="11"/>
        <color rgb="FF000000"/>
        <rFont val="Aptos Narrow"/>
        <scheme val="minor"/>
      </rPr>
      <t xml:space="preserve">• Lowest conversion volume
• Weaker audience response
💡 </t>
    </r>
    <r>
      <rPr>
        <b/>
        <sz val="11"/>
        <color rgb="FF000000"/>
        <rFont val="Aptos Narrow"/>
        <scheme val="minor"/>
      </rPr>
      <t>Recommendation:</t>
    </r>
    <r>
      <rPr>
        <sz val="11"/>
        <color rgb="FF000000"/>
        <rFont val="Aptos Narrow"/>
        <scheme val="minor"/>
      </rPr>
      <t xml:space="preserve"> </t>
    </r>
    <r>
      <rPr>
        <i/>
        <sz val="11"/>
        <color rgb="FF000000"/>
        <rFont val="Aptos Narrow"/>
        <scheme val="minor"/>
      </rPr>
      <t>Reduce or optimize spend in West; reassess targeting or ad formats.</t>
    </r>
  </si>
  <si>
    <t>3️⃣ Cost Efficiency &amp; CPC Insights</t>
  </si>
  <si>
    <r>
      <rPr>
        <b/>
        <sz val="13.5"/>
        <color rgb="FF000000"/>
        <rFont val="Aptos Narrow"/>
        <scheme val="minor"/>
      </rPr>
      <t xml:space="preserve">A. Google had the lowest CPC (₹6.68)
</t>
    </r>
    <r>
      <rPr>
        <sz val="11"/>
        <color rgb="FF000000"/>
        <rFont val="Aptos Narrow"/>
        <scheme val="minor"/>
      </rPr>
      <t xml:space="preserve">• Most cost-efficient platform
• Strong alignment between CPC, ROI, and revenue
</t>
    </r>
    <r>
      <rPr>
        <b/>
        <sz val="11"/>
        <color rgb="FF000000"/>
        <rFont val="Aptos Narrow"/>
        <scheme val="minor"/>
      </rPr>
      <t>💡 Recommendation:</t>
    </r>
    <r>
      <rPr>
        <sz val="11"/>
        <color rgb="FF000000"/>
        <rFont val="Aptos Narrow"/>
        <scheme val="minor"/>
      </rPr>
      <t xml:space="preserve"> </t>
    </r>
    <r>
      <rPr>
        <i/>
        <sz val="11"/>
        <color rgb="FF000000"/>
        <rFont val="Aptos Narrow"/>
        <scheme val="minor"/>
      </rPr>
      <t>Assign performance-driven campaigns to Google.</t>
    </r>
  </si>
  <si>
    <r>
      <rPr>
        <b/>
        <sz val="13.5"/>
        <color rgb="FF000000"/>
        <rFont val="Aptos Narrow"/>
        <scheme val="minor"/>
      </rPr>
      <t xml:space="preserve">B. Meta showed mid-range CPC with strong engagement
</t>
    </r>
    <r>
      <rPr>
        <sz val="11"/>
        <color rgb="FF000000"/>
        <rFont val="Aptos Narrow"/>
        <scheme val="minor"/>
      </rPr>
      <t xml:space="preserve">• Balanced cost with high audience activity
• Good upper-funnel platform
</t>
    </r>
    <r>
      <rPr>
        <b/>
        <sz val="11"/>
        <color rgb="FF000000"/>
        <rFont val="Aptos Narrow"/>
        <scheme val="minor"/>
      </rPr>
      <t>💡 Recommendation:</t>
    </r>
    <r>
      <rPr>
        <sz val="11"/>
        <color rgb="FF000000"/>
        <rFont val="Aptos Narrow"/>
        <scheme val="minor"/>
      </rPr>
      <t xml:space="preserve"> </t>
    </r>
    <r>
      <rPr>
        <i/>
        <sz val="11"/>
        <color rgb="FF000000"/>
        <rFont val="Aptos Narrow"/>
        <scheme val="minor"/>
      </rPr>
      <t>Use Meta for engagement-biased and awareness campaigns.</t>
    </r>
  </si>
  <si>
    <r>
      <rPr>
        <b/>
        <sz val="13.5"/>
        <color rgb="FF000000"/>
        <rFont val="Aptos Narrow"/>
        <scheme val="minor"/>
      </rPr>
      <t xml:space="preserve">C. YouTube’s CPC was relatively high (₹16.88)
</t>
    </r>
    <r>
      <rPr>
        <sz val="11"/>
        <color rgb="FF000000"/>
        <rFont val="Aptos Narrow"/>
        <scheme val="minor"/>
      </rPr>
      <t xml:space="preserve">• Mixed cost-to-performance ratio
• Lower ROI compared to spend
</t>
    </r>
    <r>
      <rPr>
        <b/>
        <sz val="11"/>
        <color rgb="FF000000"/>
        <rFont val="Aptos Narrow"/>
        <scheme val="minor"/>
      </rPr>
      <t>💡 Recommendation:</t>
    </r>
    <r>
      <rPr>
        <sz val="11"/>
        <color rgb="FF000000"/>
        <rFont val="Aptos Narrow"/>
        <scheme val="minor"/>
      </rPr>
      <t xml:space="preserve"> </t>
    </r>
    <r>
      <rPr>
        <i/>
        <sz val="11"/>
        <color rgb="FF000000"/>
        <rFont val="Aptos Narrow"/>
        <scheme val="minor"/>
      </rPr>
      <t>Optimize creatives or reconsider budget levels.</t>
    </r>
  </si>
  <si>
    <r>
      <rPr>
        <b/>
        <sz val="13.5"/>
        <color rgb="FF000000"/>
        <rFont val="Aptos Narrow"/>
        <scheme val="minor"/>
      </rPr>
      <t xml:space="preserve">D. LinkedIn had the highest CPC (₹22.60)
</t>
    </r>
    <r>
      <rPr>
        <sz val="11"/>
        <color rgb="FF000000"/>
        <rFont val="Aptos Narrow"/>
        <scheme val="minor"/>
      </rPr>
      <t xml:space="preserve">• Expensive to acquire clicks
• ROI does not justify high CPC for general campaigns
</t>
    </r>
    <r>
      <rPr>
        <b/>
        <sz val="11"/>
        <color rgb="FF000000"/>
        <rFont val="Aptos Narrow"/>
        <scheme val="minor"/>
      </rPr>
      <t>💡 Recommendation:</t>
    </r>
    <r>
      <rPr>
        <sz val="11"/>
        <color rgb="FF000000"/>
        <rFont val="Aptos Narrow"/>
        <scheme val="minor"/>
      </rPr>
      <t xml:space="preserve"> </t>
    </r>
    <r>
      <rPr>
        <i/>
        <sz val="11"/>
        <color rgb="FF000000"/>
        <rFont val="Aptos Narrow"/>
        <scheme val="minor"/>
      </rPr>
      <t>Use LinkedIn only for specialized or premium targeting.</t>
    </r>
  </si>
  <si>
    <t>4️⃣ Engagement Insights</t>
  </si>
  <si>
    <r>
      <rPr>
        <b/>
        <sz val="13.5"/>
        <color rgb="FF000000"/>
        <rFont val="Aptos Narrow"/>
        <scheme val="minor"/>
      </rPr>
      <t xml:space="preserve">A. Meta led engagement performance (0.65%)
</t>
    </r>
    <r>
      <rPr>
        <sz val="11"/>
        <color rgb="FF000000"/>
        <rFont val="Aptos Narrow"/>
        <scheme val="minor"/>
      </rPr>
      <t xml:space="preserve">• Highest likes, comments, and interactions
• Strong audience involvement
</t>
    </r>
    <r>
      <rPr>
        <b/>
        <sz val="11"/>
        <color rgb="FF000000"/>
        <rFont val="Aptos Narrow"/>
        <scheme val="minor"/>
      </rPr>
      <t>💡 Recommendation:</t>
    </r>
    <r>
      <rPr>
        <sz val="11"/>
        <color rgb="FF000000"/>
        <rFont val="Aptos Narrow"/>
        <scheme val="minor"/>
      </rPr>
      <t xml:space="preserve"> </t>
    </r>
    <r>
      <rPr>
        <i/>
        <sz val="11"/>
        <color rgb="FF000000"/>
        <rFont val="Aptos Narrow"/>
        <scheme val="minor"/>
      </rPr>
      <t>Continue Meta content strategy with focus on storytelling ads.</t>
    </r>
  </si>
  <si>
    <r>
      <rPr>
        <b/>
        <sz val="13.5"/>
        <color rgb="FF000000"/>
        <rFont val="Aptos Narrow"/>
        <scheme val="minor"/>
      </rPr>
      <t xml:space="preserve">B. YouTube &amp; LinkedIn delivered moderate engagement (0.43% &amp; 0.39%)
</t>
    </r>
    <r>
      <rPr>
        <sz val="11"/>
        <color rgb="FF000000"/>
        <rFont val="Aptos Narrow"/>
        <scheme val="minor"/>
      </rPr>
      <t xml:space="preserve">• Decent video-driven and professional engagement
• Not as strong as Meta
</t>
    </r>
    <r>
      <rPr>
        <b/>
        <sz val="11"/>
        <color rgb="FF000000"/>
        <rFont val="Aptos Narrow"/>
        <scheme val="minor"/>
      </rPr>
      <t>💡 Recommendation:</t>
    </r>
    <r>
      <rPr>
        <sz val="11"/>
        <color rgb="FF000000"/>
        <rFont val="Aptos Narrow"/>
        <scheme val="minor"/>
      </rPr>
      <t xml:space="preserve"> </t>
    </r>
    <r>
      <rPr>
        <i/>
        <sz val="11"/>
        <color rgb="FF000000"/>
        <rFont val="Aptos Narrow"/>
        <scheme val="minor"/>
      </rPr>
      <t>Use for brand visibility but not engagement-heavy goals.</t>
    </r>
  </si>
  <si>
    <r>
      <rPr>
        <b/>
        <sz val="13.5"/>
        <color rgb="FF000000"/>
        <rFont val="Aptos Narrow"/>
        <scheme val="minor"/>
      </rPr>
      <t xml:space="preserve">C. Google showed 0% engagement
</t>
    </r>
    <r>
      <rPr>
        <sz val="11"/>
        <color rgb="FF000000"/>
        <rFont val="Aptos Narrow"/>
        <scheme val="minor"/>
      </rPr>
      <t xml:space="preserve">• Normal for search ads (no likes, comments, or shares)
• Performance-focused platform only
</t>
    </r>
    <r>
      <rPr>
        <b/>
        <sz val="11"/>
        <color rgb="FF000000"/>
        <rFont val="Aptos Narrow"/>
        <scheme val="minor"/>
      </rPr>
      <t>💡 Recommendation:</t>
    </r>
    <r>
      <rPr>
        <sz val="11"/>
        <color rgb="FF000000"/>
        <rFont val="Aptos Narrow"/>
        <scheme val="minor"/>
      </rPr>
      <t xml:space="preserve"> </t>
    </r>
    <r>
      <rPr>
        <i/>
        <sz val="11"/>
        <color rgb="FF000000"/>
        <rFont val="Aptos Narrow"/>
        <scheme val="minor"/>
      </rPr>
      <t>Use Google strictly for conversions and high-intent targeting.</t>
    </r>
  </si>
  <si>
    <t>5️⃣ Overall Strategic Recommendations</t>
  </si>
  <si>
    <r>
      <rPr>
        <b/>
        <sz val="13.5"/>
        <color rgb="FF000000"/>
        <rFont val="Aptos Narrow"/>
        <scheme val="minor"/>
      </rPr>
      <t xml:space="preserve">A. Increase budget on Google
</t>
    </r>
    <r>
      <rPr>
        <sz val="11"/>
        <color rgb="FF000000"/>
        <rFont val="Aptos Narrow"/>
        <scheme val="minor"/>
      </rPr>
      <t>• High ROI
• Cost-efficient CPC
• Strong conversion engine</t>
    </r>
  </si>
  <si>
    <r>
      <rPr>
        <b/>
        <sz val="13"/>
        <color rgb="FF000000"/>
        <rFont val="Aptos Narrow"/>
        <scheme val="minor"/>
      </rPr>
      <t xml:space="preserve">B. Use Meta as the primary engagement platform
</t>
    </r>
    <r>
      <rPr>
        <sz val="11"/>
        <color rgb="FF000000"/>
        <rFont val="Aptos Narrow"/>
        <scheme val="minor"/>
      </rPr>
      <t>• Strongest audience interaction
• Ideal for awareness + engagement stages</t>
    </r>
  </si>
  <si>
    <r>
      <rPr>
        <b/>
        <sz val="13"/>
        <color rgb="FF000000"/>
        <rFont val="Aptos Narrow"/>
        <scheme val="minor"/>
      </rPr>
      <t xml:space="preserve">C. Restrict LinkedIn spend
</t>
    </r>
    <r>
      <rPr>
        <sz val="11"/>
        <color rgb="FF000000"/>
        <rFont val="Aptos Narrow"/>
        <scheme val="minor"/>
      </rPr>
      <t>• Use only for B2B or premium targeting
• Not cost-effective for general ads</t>
    </r>
  </si>
  <si>
    <r>
      <rPr>
        <b/>
        <sz val="13"/>
        <color rgb="FF000000"/>
        <rFont val="Aptos Narrow"/>
        <scheme val="minor"/>
      </rPr>
      <t xml:space="preserve">D. Optimize or reduce YouTube spend
</t>
    </r>
    <r>
      <rPr>
        <sz val="11"/>
        <color rgb="FF000000"/>
        <rFont val="Aptos Narrow"/>
        <scheme val="minor"/>
      </rPr>
      <t>• Low ROI
• Moderate engagement but weak revenue</t>
    </r>
  </si>
  <si>
    <r>
      <rPr>
        <b/>
        <sz val="13"/>
        <color rgb="FF000000"/>
        <rFont val="Aptos Narrow"/>
        <scheme val="minor"/>
      </rPr>
      <t xml:space="preserve">E. Region Priority
</t>
    </r>
    <r>
      <rPr>
        <sz val="11"/>
        <color rgb="FF000000"/>
        <rFont val="Aptos Narrow"/>
        <scheme val="minor"/>
      </rPr>
      <t>• Focus on South and East
• Maintain North and Central
• Reduce spend in West</t>
    </r>
  </si>
  <si>
    <r>
      <rPr>
        <b/>
        <sz val="11"/>
        <color rgb="FF000000"/>
        <rFont val="Aptos Narrow"/>
        <scheme val="minor"/>
      </rPr>
      <t xml:space="preserve">Overall Conclusion:
</t>
    </r>
    <r>
      <rPr>
        <i/>
        <sz val="11"/>
        <color rgb="FF000000"/>
        <rFont val="Aptos Narrow"/>
        <scheme val="minor"/>
      </rPr>
      <t>The analysis highlights a clear path to improving ROI by shifting budgets toward Google and high-performing regions while optimizing spend on weaker platforms like YouTube and LinkedIn.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</si>
</sst>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4009]\ #,##0.00"/>
    <numFmt numFmtId="166" formatCode="&quot;$&quot;#,##0.00"/>
    <numFmt numFmtId="167" formatCode="&quot;$&quot;#,##0"/>
    <numFmt numFmtId="168" formatCode="[$₹-4009]\ #,##0"/>
  </numFmts>
  <fonts count="48">
    <font>
      <sz val="11"/>
      <color theme="1"/>
      <name val="Aptos Narrow"/>
      <family val="2"/>
      <scheme val="minor"/>
    </font>
    <font>
      <sz val="11"/>
      <color rgb="FF000000"/>
      <name val="Calibri"/>
      <charset val="134"/>
    </font>
    <font>
      <b/>
      <u/>
      <sz val="20"/>
      <color rgb="FF002060"/>
      <name val="Batang"/>
    </font>
    <font>
      <sz val="14"/>
      <color rgb="FF000000"/>
      <name val="Calibri"/>
      <charset val="134"/>
    </font>
    <font>
      <b/>
      <sz val="16"/>
      <color theme="1"/>
      <name val="Aptos Narrow"/>
      <family val="2"/>
      <scheme val="minor"/>
    </font>
    <font>
      <sz val="16"/>
      <color theme="1"/>
      <name val="Aptos Narrow"/>
      <family val="2"/>
      <scheme val="minor"/>
    </font>
    <font>
      <b/>
      <sz val="13.5"/>
      <color theme="1"/>
      <name val="Aptos Narrow"/>
      <family val="2"/>
      <scheme val="minor"/>
    </font>
    <font>
      <sz val="16"/>
      <color rgb="FF000000"/>
      <name val="Aptos Narrow"/>
      <scheme val="minor"/>
    </font>
    <font>
      <sz val="14"/>
      <color theme="1" tint="0.249977111117893"/>
      <name val="Batang"/>
    </font>
    <font>
      <sz val="12"/>
      <color rgb="FF000000"/>
      <name val="Roboto"/>
      <charset val="1"/>
    </font>
    <font>
      <b/>
      <i/>
      <sz val="12"/>
      <color theme="1" tint="0.14999847407452621"/>
      <name val="Aptos Narrow"/>
      <family val="2"/>
      <scheme val="minor"/>
    </font>
    <font>
      <b/>
      <sz val="12"/>
      <color theme="1"/>
      <name val="Aptos Narrow"/>
      <family val="2"/>
      <scheme val="minor"/>
    </font>
    <font>
      <b/>
      <i/>
      <sz val="11"/>
      <color theme="3"/>
      <name val="Aptos Narrow"/>
      <family val="2"/>
      <scheme val="minor"/>
    </font>
    <font>
      <b/>
      <i/>
      <sz val="11"/>
      <color rgb="FF0E2841"/>
      <name val="Aptos Narrow"/>
      <scheme val="minor"/>
    </font>
    <font>
      <sz val="12"/>
      <color theme="1"/>
      <name val="Aptos Narrow"/>
      <family val="2"/>
      <scheme val="minor"/>
    </font>
    <font>
      <sz val="11"/>
      <color theme="3"/>
      <name val="Aptos Narrow"/>
      <family val="2"/>
      <scheme val="minor"/>
    </font>
    <font>
      <sz val="11"/>
      <color rgb="FFCF0404"/>
      <name val="Aptos Narrow"/>
      <family val="2"/>
      <scheme val="minor"/>
    </font>
    <font>
      <sz val="11"/>
      <color theme="9" tint="-0.249977111117893"/>
      <name val="Aptos Narrow"/>
      <family val="2"/>
      <scheme val="minor"/>
    </font>
    <font>
      <b/>
      <sz val="16"/>
      <color rgb="FF000000"/>
      <name val="Roboto"/>
      <charset val="1"/>
    </font>
    <font>
      <b/>
      <sz val="16"/>
      <color theme="1"/>
      <name val="Roboto"/>
      <charset val="1"/>
    </font>
    <font>
      <i/>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
      <b/>
      <sz val="12"/>
      <color rgb="FF000000"/>
      <name val="Aptos Narrow"/>
      <scheme val="minor"/>
    </font>
    <font>
      <sz val="12"/>
      <color rgb="FF000000"/>
      <name val="Aptos Narrow"/>
      <scheme val="minor"/>
    </font>
    <font>
      <b/>
      <sz val="14"/>
      <color theme="1"/>
      <name val="Aptos Narrow"/>
      <family val="2"/>
      <scheme val="minor"/>
    </font>
    <font>
      <b/>
      <sz val="18"/>
      <color theme="0"/>
      <name val="Aptos Narrow"/>
      <family val="2"/>
      <scheme val="minor"/>
    </font>
    <font>
      <sz val="14"/>
      <color theme="1" tint="0.14999847407452621"/>
      <name val="Aptos Narrow"/>
      <family val="2"/>
      <scheme val="minor"/>
    </font>
    <font>
      <b/>
      <u/>
      <sz val="18"/>
      <color theme="0"/>
      <name val="Aptos Narrow"/>
      <scheme val="minor"/>
    </font>
    <font>
      <b/>
      <sz val="18"/>
      <color rgb="FFFFFFFF"/>
      <name val="Aptos Narrow"/>
      <scheme val="minor"/>
    </font>
    <font>
      <b/>
      <u/>
      <sz val="18"/>
      <color rgb="FFFFFFFF"/>
      <name val="Aptos Narrow"/>
      <scheme val="minor"/>
    </font>
    <font>
      <sz val="14"/>
      <color rgb="FF000000"/>
      <name val="Aptos Narrow"/>
      <charset val="1"/>
    </font>
    <font>
      <sz val="14"/>
      <color theme="1"/>
      <name val="Aptos Narrow"/>
      <family val="2"/>
      <scheme val="minor"/>
    </font>
    <font>
      <b/>
      <sz val="12"/>
      <color theme="1" tint="0.14999847407452621"/>
      <name val="Aptos Narrow"/>
      <family val="2"/>
      <scheme val="minor"/>
    </font>
    <font>
      <i/>
      <sz val="11"/>
      <color rgb="FF000000"/>
      <name val="Aptos Narrow"/>
      <scheme val="minor"/>
    </font>
    <font>
      <b/>
      <u/>
      <sz val="24"/>
      <color theme="0"/>
      <name val="Aptos Narrow"/>
      <family val="2"/>
      <scheme val="minor"/>
    </font>
    <font>
      <b/>
      <u/>
      <sz val="24"/>
      <color theme="0"/>
      <name val="Aptos Narrow"/>
      <scheme val="minor"/>
    </font>
    <font>
      <b/>
      <u/>
      <sz val="24"/>
      <color theme="0"/>
      <name val="Batang"/>
    </font>
    <font>
      <i/>
      <sz val="10"/>
      <color theme="1"/>
      <name val="Aptos Narrow"/>
      <family val="2"/>
      <scheme val="minor"/>
    </font>
    <font>
      <sz val="10"/>
      <color theme="1"/>
      <name val="Aptos Narrow"/>
      <family val="2"/>
      <scheme val="minor"/>
    </font>
    <font>
      <b/>
      <u/>
      <sz val="24"/>
      <color rgb="FFFFFFFF"/>
      <name val="Aptos Narrow"/>
      <scheme val="minor"/>
    </font>
    <font>
      <b/>
      <sz val="24"/>
      <color theme="0"/>
      <name val="Aptos Narrow"/>
      <family val="2"/>
      <scheme val="minor"/>
    </font>
    <font>
      <b/>
      <sz val="24"/>
      <color rgb="FFFFFFFF"/>
      <name val="Aptos Narrow"/>
      <scheme val="minor"/>
    </font>
    <font>
      <b/>
      <sz val="13.5"/>
      <color rgb="FF000000"/>
      <name val="Aptos Narrow"/>
      <scheme val="minor"/>
    </font>
    <font>
      <b/>
      <i/>
      <sz val="11"/>
      <color rgb="FF000000"/>
      <name val="Aptos Narrow"/>
      <scheme val="minor"/>
    </font>
    <font>
      <b/>
      <sz val="13"/>
      <color rgb="FF000000"/>
      <name val="Aptos Narrow"/>
      <scheme val="minor"/>
    </font>
    <font>
      <sz val="13"/>
      <color theme="1"/>
      <name val="Aptos Narrow"/>
      <family val="2"/>
      <scheme val="minor"/>
    </font>
  </fonts>
  <fills count="14">
    <fill>
      <patternFill patternType="none"/>
    </fill>
    <fill>
      <patternFill patternType="gray125"/>
    </fill>
    <fill>
      <patternFill patternType="solid">
        <fgColor theme="3" tint="0.89999084444715716"/>
        <bgColor indexed="64"/>
      </patternFill>
    </fill>
    <fill>
      <patternFill patternType="solid">
        <fgColor theme="2" tint="-0.249977111117893"/>
        <bgColor indexed="64"/>
      </patternFill>
    </fill>
    <fill>
      <patternFill patternType="solid">
        <fgColor theme="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0" tint="-0.14999847407452621"/>
        <bgColor indexed="64"/>
      </patternFill>
    </fill>
    <fill>
      <patternFill patternType="solid">
        <fgColor rgb="FFF9E79F"/>
        <bgColor indexed="64"/>
      </patternFill>
    </fill>
    <fill>
      <patternFill patternType="solid">
        <fgColor theme="2" tint="-9.9978637043366805E-2"/>
        <bgColor indexed="64"/>
      </patternFill>
    </fill>
    <fill>
      <patternFill patternType="solid">
        <fgColor theme="3"/>
        <bgColor indexed="64"/>
      </patternFill>
    </fill>
    <fill>
      <patternFill patternType="solid">
        <fgColor theme="3" tint="0.749992370372631"/>
        <bgColor indexed="64"/>
      </patternFill>
    </fill>
    <fill>
      <patternFill patternType="solid">
        <fgColor rgb="FFF2F2F2"/>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D5D5D5"/>
      </left>
      <right style="thin">
        <color rgb="FFD5D5D5"/>
      </right>
      <top style="thin">
        <color rgb="FFD5D5D5"/>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D5D5D5"/>
      </left>
      <right/>
      <top style="thin">
        <color rgb="FFD5D5D5"/>
      </top>
      <bottom/>
      <diagonal/>
    </border>
    <border>
      <left/>
      <right/>
      <top style="thin">
        <color rgb="FFD5D5D5"/>
      </top>
      <bottom/>
      <diagonal/>
    </border>
    <border>
      <left style="thin">
        <color rgb="FFD5D5D5"/>
      </left>
      <right/>
      <top/>
      <bottom/>
      <diagonal/>
    </border>
    <border>
      <left style="thin">
        <color rgb="FFD5D5D5"/>
      </left>
      <right/>
      <top style="thin">
        <color theme="4" tint="0.39997558519241921"/>
      </top>
      <bottom/>
      <diagonal/>
    </border>
    <border>
      <left/>
      <right/>
      <top style="thin">
        <color theme="4" tint="0.39997558519241921"/>
      </top>
      <bottom/>
      <diagonal/>
    </border>
    <border>
      <left style="thin">
        <color rgb="FFD5D5D5"/>
      </left>
      <right style="thin">
        <color rgb="FFD5D5D5"/>
      </right>
      <top/>
      <bottom/>
      <diagonal/>
    </border>
    <border>
      <left style="thin">
        <color rgb="FFC9C9C9"/>
      </left>
      <right style="thin">
        <color rgb="FFC9C9C9"/>
      </right>
      <top style="thin">
        <color rgb="FFC9C9C9"/>
      </top>
      <bottom style="thin">
        <color rgb="FFC9C9C9"/>
      </bottom>
      <diagonal/>
    </border>
  </borders>
  <cellStyleXfs count="1">
    <xf numFmtId="0" fontId="0" fillId="0" borderId="0"/>
  </cellStyleXfs>
  <cellXfs count="133">
    <xf numFmtId="0" fontId="0" fillId="0" borderId="0" xfId="0"/>
    <xf numFmtId="0" fontId="1" fillId="0" borderId="0" xfId="0" applyFont="1" applyFill="1" applyBorder="1" applyAlignment="1"/>
    <xf numFmtId="0" fontId="4" fillId="0" borderId="0" xfId="0" applyFont="1"/>
    <xf numFmtId="0" fontId="4" fillId="0" borderId="0" xfId="0" applyFont="1" applyAlignment="1">
      <alignment wrapText="1"/>
    </xf>
    <xf numFmtId="0" fontId="6" fillId="0" borderId="0" xfId="0" applyFont="1"/>
    <xf numFmtId="0" fontId="2" fillId="0" borderId="0" xfId="0" applyFont="1" applyAlignment="1">
      <alignment horizontal="center" vertical="center"/>
    </xf>
    <xf numFmtId="0" fontId="0" fillId="0" borderId="0" xfId="0" applyAlignment="1">
      <alignment wrapText="1"/>
    </xf>
    <xf numFmtId="0" fontId="7" fillId="0" borderId="0" xfId="0" applyFont="1" applyAlignment="1">
      <alignment wrapText="1"/>
    </xf>
    <xf numFmtId="0" fontId="3" fillId="0" borderId="0" xfId="0" applyFont="1" applyFill="1" applyBorder="1" applyAlignment="1"/>
    <xf numFmtId="0" fontId="0" fillId="0" borderId="0" xfId="0" applyAlignment="1">
      <alignment horizontal="left" wrapText="1" indent="10"/>
    </xf>
    <xf numFmtId="0" fontId="11" fillId="0" borderId="0" xfId="0" applyFont="1" applyAlignment="1">
      <alignment horizontal="left" vertical="top"/>
    </xf>
    <xf numFmtId="0" fontId="14" fillId="0" borderId="0" xfId="0" applyFont="1" applyAlignment="1">
      <alignment horizontal="left" vertical="top"/>
    </xf>
    <xf numFmtId="0" fontId="11" fillId="0" borderId="0" xfId="0" applyFont="1" applyAlignment="1">
      <alignment horizontal="left" vertical="center"/>
    </xf>
    <xf numFmtId="0" fontId="0" fillId="0" borderId="0" xfId="0" applyAlignment="1">
      <alignment vertical="center"/>
    </xf>
    <xf numFmtId="0" fontId="0" fillId="0" borderId="0" xfId="0" applyAlignment="1">
      <alignment horizontal="center" vertical="center"/>
    </xf>
    <xf numFmtId="0" fontId="11" fillId="0" borderId="0" xfId="0" applyFont="1" applyBorder="1" applyAlignment="1">
      <alignment horizontal="left" vertical="top" wrapText="1"/>
    </xf>
    <xf numFmtId="0" fontId="14" fillId="0" borderId="0" xfId="0" applyFont="1" applyBorder="1" applyAlignment="1">
      <alignment horizontal="left" vertical="top" wrapText="1"/>
    </xf>
    <xf numFmtId="0" fontId="9" fillId="7" borderId="1" xfId="0" applyFont="1" applyFill="1" applyBorder="1" applyAlignment="1">
      <alignment wrapText="1"/>
    </xf>
    <xf numFmtId="0" fontId="9" fillId="9" borderId="1" xfId="0" applyFont="1" applyFill="1" applyBorder="1" applyAlignment="1">
      <alignment wrapText="1"/>
    </xf>
    <xf numFmtId="0" fontId="18" fillId="7" borderId="4" xfId="0" applyFont="1" applyFill="1" applyBorder="1" applyAlignment="1">
      <alignment wrapText="1"/>
    </xf>
    <xf numFmtId="0" fontId="9" fillId="0" borderId="11" xfId="0" applyFont="1" applyFill="1" applyBorder="1" applyAlignment="1">
      <alignment wrapText="1"/>
    </xf>
    <xf numFmtId="0" fontId="9" fillId="0" borderId="14" xfId="0" applyFont="1" applyFill="1" applyBorder="1" applyAlignment="1">
      <alignment wrapText="1"/>
    </xf>
    <xf numFmtId="0" fontId="0" fillId="0" borderId="0" xfId="0" applyFont="1"/>
    <xf numFmtId="0" fontId="9" fillId="0" borderId="12" xfId="0" applyFont="1" applyFill="1" applyBorder="1" applyAlignment="1">
      <alignment wrapText="1"/>
    </xf>
    <xf numFmtId="0" fontId="9" fillId="0" borderId="15" xfId="0" applyFont="1" applyFill="1" applyBorder="1" applyAlignment="1">
      <alignment wrapText="1"/>
    </xf>
    <xf numFmtId="0" fontId="19" fillId="0" borderId="0" xfId="0" applyFont="1" applyFill="1" applyBorder="1" applyAlignment="1"/>
    <xf numFmtId="0" fontId="19" fillId="0" borderId="13" xfId="0" applyFont="1" applyFill="1" applyBorder="1" applyAlignment="1"/>
    <xf numFmtId="0" fontId="9" fillId="0" borderId="13" xfId="0" applyFont="1" applyFill="1" applyBorder="1" applyAlignment="1">
      <alignment wrapText="1"/>
    </xf>
    <xf numFmtId="0" fontId="19" fillId="0" borderId="16" xfId="0" applyFont="1" applyFill="1" applyBorder="1" applyAlignment="1"/>
    <xf numFmtId="164" fontId="9" fillId="0" borderId="13" xfId="0" applyNumberFormat="1" applyFont="1" applyFill="1" applyBorder="1" applyAlignment="1">
      <alignment wrapText="1"/>
    </xf>
    <xf numFmtId="9" fontId="9" fillId="0" borderId="13" xfId="0" applyNumberFormat="1" applyFont="1" applyFill="1" applyBorder="1" applyAlignment="1">
      <alignment wrapText="1"/>
    </xf>
    <xf numFmtId="10" fontId="9" fillId="0" borderId="13" xfId="0" applyNumberFormat="1" applyFont="1" applyFill="1" applyBorder="1" applyAlignment="1">
      <alignment wrapText="1"/>
    </xf>
    <xf numFmtId="165" fontId="9" fillId="0" borderId="13" xfId="0" applyNumberFormat="1" applyFont="1" applyFill="1" applyBorder="1" applyAlignment="1">
      <alignment wrapText="1"/>
    </xf>
    <xf numFmtId="2" fontId="9" fillId="0" borderId="11" xfId="0" applyNumberFormat="1" applyFont="1" applyFill="1" applyBorder="1" applyAlignment="1">
      <alignment wrapText="1"/>
    </xf>
    <xf numFmtId="0" fontId="21" fillId="0" borderId="1" xfId="0" applyFont="1" applyBorder="1"/>
    <xf numFmtId="0" fontId="21" fillId="0" borderId="1" xfId="0" applyFont="1" applyBorder="1" applyAlignment="1">
      <alignment wrapText="1"/>
    </xf>
    <xf numFmtId="0" fontId="0" fillId="0" borderId="0" xfId="0" pivotButton="1"/>
    <xf numFmtId="0" fontId="15" fillId="6" borderId="7" xfId="0" applyFont="1" applyFill="1" applyBorder="1" applyAlignment="1">
      <alignment vertical="top"/>
    </xf>
    <xf numFmtId="0" fontId="16" fillId="6" borderId="1" xfId="0" applyFont="1" applyFill="1" applyBorder="1" applyAlignment="1">
      <alignment horizontal="left" vertical="top"/>
    </xf>
    <xf numFmtId="0" fontId="17" fillId="6" borderId="10" xfId="0" applyFont="1" applyFill="1" applyBorder="1" applyAlignment="1">
      <alignment horizontal="left" vertical="top"/>
    </xf>
    <xf numFmtId="0" fontId="16" fillId="6" borderId="1" xfId="0" applyFont="1" applyFill="1" applyBorder="1" applyAlignment="1">
      <alignment vertical="top"/>
    </xf>
    <xf numFmtId="0" fontId="17" fillId="6" borderId="10" xfId="0" applyFont="1" applyFill="1" applyBorder="1" applyAlignment="1">
      <alignment vertical="top"/>
    </xf>
    <xf numFmtId="0" fontId="15" fillId="6" borderId="8" xfId="0" applyFont="1" applyFill="1" applyBorder="1" applyAlignment="1">
      <alignment vertical="top"/>
    </xf>
    <xf numFmtId="0" fontId="17" fillId="6" borderId="2" xfId="0" applyFont="1" applyFill="1" applyBorder="1" applyAlignment="1">
      <alignment vertical="top"/>
    </xf>
    <xf numFmtId="0" fontId="15" fillId="6" borderId="8" xfId="0" applyFont="1" applyFill="1" applyBorder="1" applyAlignment="1">
      <alignment vertical="top" wrapText="1"/>
    </xf>
    <xf numFmtId="0" fontId="16" fillId="6" borderId="3" xfId="0" applyFont="1" applyFill="1" applyBorder="1" applyAlignment="1">
      <alignment vertical="top" wrapText="1"/>
    </xf>
    <xf numFmtId="0" fontId="21" fillId="3" borderId="6" xfId="0" applyFont="1" applyFill="1" applyBorder="1" applyAlignment="1">
      <alignment vertical="top"/>
    </xf>
    <xf numFmtId="0" fontId="21" fillId="3" borderId="5" xfId="0" applyFont="1" applyFill="1" applyBorder="1" applyAlignment="1">
      <alignment vertical="top"/>
    </xf>
    <xf numFmtId="0" fontId="21" fillId="3" borderId="9" xfId="0" applyFont="1" applyFill="1" applyBorder="1" applyAlignment="1">
      <alignment vertical="top"/>
    </xf>
    <xf numFmtId="9" fontId="0" fillId="0" borderId="0" xfId="0" applyNumberFormat="1"/>
    <xf numFmtId="0" fontId="0" fillId="0" borderId="0" xfId="0" applyNumberFormat="1"/>
    <xf numFmtId="165" fontId="0" fillId="0" borderId="0" xfId="0" applyNumberFormat="1"/>
    <xf numFmtId="0" fontId="20" fillId="0" borderId="0" xfId="0" applyFont="1"/>
    <xf numFmtId="10" fontId="0" fillId="0" borderId="0" xfId="0" applyNumberFormat="1"/>
    <xf numFmtId="0" fontId="0" fillId="0" borderId="0" xfId="0" applyFill="1"/>
    <xf numFmtId="0" fontId="0" fillId="0" borderId="0" xfId="0" applyFill="1" applyBorder="1"/>
    <xf numFmtId="0" fontId="20" fillId="0" borderId="0" xfId="0" applyFont="1" applyFill="1" applyAlignment="1">
      <alignment vertical="top"/>
    </xf>
    <xf numFmtId="0" fontId="20" fillId="0" borderId="0" xfId="0" applyFont="1" applyFill="1" applyAlignment="1">
      <alignment wrapText="1"/>
    </xf>
    <xf numFmtId="0" fontId="30" fillId="0" borderId="0" xfId="0" applyFont="1" applyFill="1" applyAlignment="1">
      <alignment vertical="top"/>
    </xf>
    <xf numFmtId="0" fontId="27" fillId="0" borderId="0" xfId="0" applyFont="1" applyFill="1" applyAlignment="1">
      <alignment vertical="top"/>
    </xf>
    <xf numFmtId="0" fontId="29" fillId="0" borderId="0" xfId="0" applyFont="1" applyFill="1" applyAlignment="1">
      <alignment horizontal="center" vertical="top" wrapText="1"/>
    </xf>
    <xf numFmtId="0" fontId="5" fillId="0" borderId="0" xfId="0" applyFont="1" applyFill="1" applyAlignment="1">
      <alignment horizontal="center"/>
    </xf>
    <xf numFmtId="0" fontId="34" fillId="13" borderId="17" xfId="0" applyFont="1" applyFill="1" applyBorder="1" applyAlignment="1">
      <alignment horizontal="center"/>
    </xf>
    <xf numFmtId="167" fontId="33" fillId="13" borderId="17" xfId="0" applyNumberFormat="1" applyFont="1" applyFill="1" applyBorder="1" applyAlignment="1">
      <alignment horizontal="center"/>
    </xf>
    <xf numFmtId="1" fontId="33" fillId="13" borderId="17" xfId="0" applyNumberFormat="1" applyFont="1" applyFill="1" applyBorder="1" applyAlignment="1">
      <alignment horizontal="center"/>
    </xf>
    <xf numFmtId="9" fontId="33" fillId="13" borderId="17" xfId="0" applyNumberFormat="1" applyFont="1" applyFill="1" applyBorder="1" applyAlignment="1">
      <alignment horizontal="center"/>
    </xf>
    <xf numFmtId="166" fontId="33" fillId="13" borderId="17" xfId="0" applyNumberFormat="1" applyFont="1" applyFill="1" applyBorder="1" applyAlignment="1">
      <alignment horizontal="center"/>
    </xf>
    <xf numFmtId="0" fontId="26" fillId="0" borderId="0" xfId="0" applyFont="1"/>
    <xf numFmtId="1" fontId="0" fillId="0" borderId="0" xfId="0" applyNumberFormat="1"/>
    <xf numFmtId="168" fontId="0" fillId="0" borderId="0" xfId="0" applyNumberFormat="1"/>
    <xf numFmtId="2" fontId="0" fillId="0" borderId="0" xfId="0" applyNumberFormat="1"/>
    <xf numFmtId="0" fontId="0" fillId="0" borderId="0" xfId="0" applyAlignment="1"/>
    <xf numFmtId="0" fontId="20" fillId="0" borderId="0" xfId="0" applyFont="1" applyFill="1"/>
    <xf numFmtId="0" fontId="35" fillId="0" borderId="0" xfId="0" applyFont="1" applyFill="1" applyAlignment="1">
      <alignment vertical="top" wrapText="1"/>
    </xf>
    <xf numFmtId="0" fontId="20" fillId="0" borderId="0" xfId="0" applyFont="1" applyFill="1" applyAlignment="1">
      <alignment vertical="top" wrapText="1"/>
    </xf>
    <xf numFmtId="0" fontId="35" fillId="0" borderId="0" xfId="0" applyFont="1" applyFill="1" applyAlignment="1">
      <alignment vertical="top"/>
    </xf>
    <xf numFmtId="0" fontId="39" fillId="0" borderId="0" xfId="0" applyFont="1" applyAlignment="1">
      <alignment vertical="top"/>
    </xf>
    <xf numFmtId="0" fontId="39" fillId="0" borderId="0" xfId="0" applyFont="1" applyFill="1" applyAlignment="1">
      <alignment vertical="top" wrapText="1"/>
    </xf>
    <xf numFmtId="0" fontId="41" fillId="11" borderId="0" xfId="0" applyFont="1" applyFill="1" applyAlignment="1">
      <alignment horizontal="center" vertical="top" wrapText="1"/>
    </xf>
    <xf numFmtId="0" fontId="32" fillId="0" borderId="0" xfId="0" applyFont="1" applyFill="1" applyAlignment="1">
      <alignment horizontal="center" vertical="center"/>
    </xf>
    <xf numFmtId="0" fontId="14" fillId="0" borderId="0" xfId="0" applyFont="1" applyAlignment="1">
      <alignment vertical="top"/>
    </xf>
    <xf numFmtId="0" fontId="0" fillId="0" borderId="0" xfId="0" applyAlignment="1">
      <alignment vertical="top" wrapText="1"/>
    </xf>
    <xf numFmtId="0" fontId="21" fillId="0" borderId="0" xfId="0" applyFont="1"/>
    <xf numFmtId="0" fontId="26" fillId="10" borderId="0" xfId="0" applyFont="1" applyFill="1"/>
    <xf numFmtId="0" fontId="26" fillId="10" borderId="0" xfId="0" applyFont="1" applyFill="1" applyAlignment="1">
      <alignment vertical="top" wrapText="1"/>
    </xf>
    <xf numFmtId="0" fontId="47" fillId="0" borderId="0" xfId="0" applyFont="1"/>
    <xf numFmtId="0" fontId="0" fillId="10" borderId="0" xfId="0" applyFill="1"/>
    <xf numFmtId="0" fontId="21" fillId="0" borderId="0" xfId="0" applyFont="1" applyAlignment="1">
      <alignment vertical="top" wrapText="1"/>
    </xf>
    <xf numFmtId="0" fontId="0" fillId="0" borderId="0" xfId="0" applyAlignment="1">
      <alignment vertical="top"/>
    </xf>
    <xf numFmtId="0" fontId="6" fillId="0" borderId="0" xfId="0" applyFont="1" applyAlignment="1">
      <alignment vertical="top" wrapText="1"/>
    </xf>
    <xf numFmtId="0" fontId="13" fillId="8" borderId="0" xfId="0" applyFont="1" applyFill="1" applyAlignment="1">
      <alignment horizontal="left" vertical="top"/>
    </xf>
    <xf numFmtId="0" fontId="12" fillId="8" borderId="0" xfId="0" applyFont="1" applyFill="1" applyAlignment="1">
      <alignment horizontal="left" vertical="top"/>
    </xf>
    <xf numFmtId="0" fontId="23" fillId="5" borderId="0" xfId="0" applyFont="1" applyFill="1" applyAlignment="1">
      <alignment horizontal="left" vertical="top" wrapText="1"/>
    </xf>
    <xf numFmtId="0" fontId="0" fillId="5" borderId="0" xfId="0" applyFill="1" applyAlignment="1">
      <alignment horizontal="left" vertical="top" wrapText="1"/>
    </xf>
    <xf numFmtId="0" fontId="38" fillId="11" borderId="0" xfId="0" applyFont="1" applyFill="1" applyAlignment="1">
      <alignment horizontal="center" vertical="top"/>
    </xf>
    <xf numFmtId="0" fontId="8" fillId="6" borderId="0" xfId="0" applyFont="1" applyFill="1" applyAlignment="1">
      <alignment horizontal="center" vertical="center" wrapText="1"/>
    </xf>
    <xf numFmtId="0" fontId="10" fillId="3" borderId="0" xfId="0" applyFont="1" applyFill="1" applyAlignment="1">
      <alignment horizontal="left"/>
    </xf>
    <xf numFmtId="0" fontId="38" fillId="11" borderId="0" xfId="0" applyFont="1" applyFill="1" applyBorder="1" applyAlignment="1">
      <alignment horizontal="center" vertical="top"/>
    </xf>
    <xf numFmtId="0" fontId="28" fillId="6" borderId="0" xfId="0" applyFont="1" applyFill="1" applyAlignment="1">
      <alignment horizontal="center"/>
    </xf>
    <xf numFmtId="0" fontId="23" fillId="2" borderId="0" xfId="0" applyFont="1" applyFill="1" applyAlignment="1">
      <alignment vertical="top" wrapText="1"/>
    </xf>
    <xf numFmtId="0" fontId="7" fillId="12" borderId="1" xfId="0" applyFont="1" applyFill="1" applyBorder="1" applyAlignment="1">
      <alignment horizontal="center" wrapText="1"/>
    </xf>
    <xf numFmtId="0" fontId="11" fillId="0" borderId="1" xfId="0" applyFont="1" applyBorder="1" applyAlignment="1">
      <alignment horizontal="center"/>
    </xf>
    <xf numFmtId="0" fontId="26" fillId="3" borderId="0" xfId="0" applyFont="1" applyFill="1" applyAlignment="1">
      <alignment horizontal="center"/>
    </xf>
    <xf numFmtId="0" fontId="14" fillId="4" borderId="0" xfId="0" applyFont="1" applyFill="1" applyAlignment="1">
      <alignment wrapText="1"/>
    </xf>
    <xf numFmtId="0" fontId="43" fillId="11" borderId="0" xfId="0" applyFont="1" applyFill="1" applyAlignment="1">
      <alignment horizontal="center" vertical="top"/>
    </xf>
    <xf numFmtId="0" fontId="42" fillId="11" borderId="0" xfId="0" applyFont="1" applyFill="1" applyAlignment="1">
      <alignment horizontal="center" vertical="top"/>
    </xf>
    <xf numFmtId="0" fontId="25" fillId="2" borderId="0" xfId="0" applyFont="1" applyFill="1" applyAlignment="1">
      <alignment horizontal="left" vertical="center" wrapText="1"/>
    </xf>
    <xf numFmtId="0" fontId="14" fillId="2" borderId="0" xfId="0" applyFont="1" applyFill="1" applyAlignment="1">
      <alignment horizontal="left" vertical="center" wrapText="1"/>
    </xf>
    <xf numFmtId="0" fontId="25" fillId="4" borderId="0" xfId="0" applyFont="1" applyFill="1" applyAlignment="1"/>
    <xf numFmtId="0" fontId="14" fillId="4" borderId="0" xfId="0" applyFont="1" applyFill="1" applyAlignment="1"/>
    <xf numFmtId="0" fontId="20" fillId="10" borderId="0" xfId="0" applyFont="1" applyFill="1" applyAlignment="1"/>
    <xf numFmtId="0" fontId="37" fillId="11" borderId="0" xfId="0" applyFont="1" applyFill="1" applyAlignment="1">
      <alignment horizontal="center" vertical="top"/>
    </xf>
    <xf numFmtId="0" fontId="36" fillId="11" borderId="0" xfId="0" applyFont="1" applyFill="1" applyAlignment="1">
      <alignment horizontal="center" vertical="top"/>
    </xf>
    <xf numFmtId="0" fontId="43" fillId="11" borderId="0" xfId="0" applyFont="1" applyFill="1" applyAlignment="1">
      <alignment horizontal="center" vertical="center"/>
    </xf>
    <xf numFmtId="0" fontId="42" fillId="11" borderId="0" xfId="0" applyFont="1" applyFill="1" applyAlignment="1">
      <alignment horizontal="center" vertical="center"/>
    </xf>
    <xf numFmtId="0" fontId="20" fillId="2" borderId="0" xfId="0" applyFont="1" applyFill="1" applyAlignment="1"/>
    <xf numFmtId="0" fontId="0" fillId="2" borderId="0" xfId="0" applyFill="1" applyAlignment="1">
      <alignment vertical="top" wrapText="1"/>
    </xf>
    <xf numFmtId="0" fontId="20" fillId="2" borderId="0" xfId="0" applyFont="1" applyFill="1" applyAlignment="1">
      <alignment vertical="top"/>
    </xf>
    <xf numFmtId="0" fontId="20" fillId="2" borderId="0" xfId="0" applyFont="1" applyFill="1" applyAlignment="1">
      <alignment wrapText="1"/>
    </xf>
    <xf numFmtId="0" fontId="20" fillId="2" borderId="0" xfId="0" applyFont="1" applyFill="1" applyAlignment="1">
      <alignment vertical="top" wrapText="1"/>
    </xf>
    <xf numFmtId="0" fontId="20" fillId="2" borderId="0" xfId="0" applyFont="1" applyFill="1" applyAlignment="1">
      <alignment horizontal="left" wrapText="1"/>
    </xf>
    <xf numFmtId="0" fontId="40" fillId="10" borderId="0" xfId="0" applyFont="1" applyFill="1" applyAlignment="1">
      <alignment vertical="top" wrapText="1"/>
    </xf>
    <xf numFmtId="0" fontId="36" fillId="11" borderId="0" xfId="0" applyFont="1" applyFill="1" applyAlignment="1">
      <alignment horizontal="center" vertical="center"/>
    </xf>
    <xf numFmtId="0" fontId="35" fillId="2" borderId="0" xfId="0" applyFont="1" applyFill="1" applyAlignment="1">
      <alignment horizontal="center" vertical="top" wrapText="1"/>
    </xf>
    <xf numFmtId="0" fontId="20" fillId="2" borderId="0" xfId="0" applyFont="1" applyFill="1" applyAlignment="1">
      <alignment horizontal="center" vertical="top" wrapText="1"/>
    </xf>
    <xf numFmtId="0" fontId="22" fillId="2" borderId="0" xfId="0" applyFont="1" applyFill="1" applyAlignment="1">
      <alignment vertical="top" wrapText="1"/>
    </xf>
    <xf numFmtId="0" fontId="21" fillId="2" borderId="0" xfId="0" applyFont="1" applyFill="1" applyAlignment="1">
      <alignment vertical="top" wrapText="1"/>
    </xf>
    <xf numFmtId="0" fontId="44" fillId="0" borderId="0" xfId="0" applyFont="1" applyAlignment="1">
      <alignment vertical="top" wrapText="1"/>
    </xf>
    <xf numFmtId="0" fontId="6" fillId="0" borderId="0" xfId="0" applyFont="1" applyAlignment="1">
      <alignment vertical="top" wrapText="1"/>
    </xf>
    <xf numFmtId="0" fontId="23" fillId="0" borderId="0" xfId="0" applyFont="1" applyAlignment="1">
      <alignment vertical="top" wrapText="1"/>
    </xf>
    <xf numFmtId="0" fontId="0" fillId="0" borderId="0" xfId="0" applyAlignment="1">
      <alignment vertical="top"/>
    </xf>
    <xf numFmtId="0" fontId="23" fillId="0" borderId="0" xfId="0" applyFont="1" applyAlignment="1">
      <alignment horizontal="left" vertical="top" wrapText="1"/>
    </xf>
    <xf numFmtId="0" fontId="6" fillId="0" borderId="0" xfId="0" applyFont="1" applyAlignment="1">
      <alignment vertical="top"/>
    </xf>
  </cellXfs>
  <cellStyles count="1">
    <cellStyle name="Normal" xfId="0" builtinId="0"/>
  </cellStyles>
  <dxfs count="48">
    <dxf>
      <font>
        <b val="0"/>
        <i val="0"/>
        <strike val="0"/>
        <condense val="0"/>
        <extend val="0"/>
        <outline val="0"/>
        <shadow val="0"/>
        <u val="none"/>
        <vertAlign val="baseline"/>
        <sz val="12"/>
        <color rgb="FF000000"/>
        <name val="Roboto"/>
        <charset val="1"/>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rgb="FFD5D5D5"/>
        </left>
        <right/>
        <top style="thin">
          <color rgb="FFD5D5D5"/>
        </top>
        <bottom/>
        <vertical/>
        <horizontal/>
      </border>
    </dxf>
    <dxf>
      <font>
        <b val="0"/>
        <i val="0"/>
        <strike val="0"/>
        <condense val="0"/>
        <extend val="0"/>
        <outline val="0"/>
        <shadow val="0"/>
        <u val="none"/>
        <vertAlign val="baseline"/>
        <sz val="12"/>
        <color rgb="FF000000"/>
        <name val="Roboto"/>
        <charset val="1"/>
        <scheme val="none"/>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rgb="FFD5D5D5"/>
        </left>
        <right/>
        <top style="thin">
          <color rgb="FFD5D5D5"/>
        </top>
        <bottom/>
        <vertical/>
        <horizontal/>
      </border>
    </dxf>
    <dxf>
      <font>
        <b val="0"/>
        <i val="0"/>
        <strike val="0"/>
        <condense val="0"/>
        <extend val="0"/>
        <outline val="0"/>
        <shadow val="0"/>
        <u val="none"/>
        <vertAlign val="baseline"/>
        <sz val="12"/>
        <color rgb="FF000000"/>
        <name val="Roboto"/>
        <charset val="1"/>
        <scheme val="none"/>
      </font>
      <numFmt numFmtId="2" formatCode="0.00"/>
      <fill>
        <patternFill patternType="none">
          <fgColor indexed="64"/>
          <bgColor indexed="65"/>
        </patternFill>
      </fill>
      <alignment horizontal="general" vertical="bottom" textRotation="0" wrapText="1" indent="0" justifyLastLine="0" shrinkToFit="0" readingOrder="0"/>
      <border diagonalUp="0" diagonalDown="0">
        <left style="thin">
          <color rgb="FFD5D5D5"/>
        </left>
        <right/>
        <top style="thin">
          <color rgb="FFD5D5D5"/>
        </top>
        <bottom/>
        <vertical/>
        <horizontal/>
      </border>
    </dxf>
    <dxf>
      <font>
        <b val="0"/>
        <i val="0"/>
        <strike val="0"/>
        <condense val="0"/>
        <extend val="0"/>
        <outline val="0"/>
        <shadow val="0"/>
        <u val="none"/>
        <vertAlign val="baseline"/>
        <sz val="12"/>
        <color rgb="FF000000"/>
        <name val="Roboto"/>
        <charset val="1"/>
        <scheme val="none"/>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rgb="FFD5D5D5"/>
        </left>
        <right/>
        <top style="thin">
          <color rgb="FFD5D5D5"/>
        </top>
        <bottom/>
        <vertical/>
        <horizontal/>
      </border>
    </dxf>
    <dxf>
      <font>
        <b val="0"/>
        <i val="0"/>
        <strike val="0"/>
        <condense val="0"/>
        <extend val="0"/>
        <outline val="0"/>
        <shadow val="0"/>
        <u val="none"/>
        <vertAlign val="baseline"/>
        <sz val="12"/>
        <color rgb="FF000000"/>
        <name val="Roboto"/>
        <charset val="1"/>
        <scheme val="none"/>
      </font>
      <numFmt numFmtId="0" formatCode="General"/>
      <fill>
        <patternFill patternType="none">
          <fgColor indexed="64"/>
          <bgColor indexed="65"/>
        </patternFill>
      </fill>
      <alignment horizontal="general" vertical="bottom" textRotation="0" wrapText="1" indent="0" justifyLastLine="0" shrinkToFit="0" readingOrder="0"/>
      <border diagonalUp="0" diagonalDown="0">
        <left style="thin">
          <color rgb="FFD5D5D5"/>
        </left>
        <right/>
        <top style="thin">
          <color rgb="FFD5D5D5"/>
        </top>
        <bottom/>
        <vertical/>
        <horizontal/>
      </border>
    </dxf>
    <dxf>
      <font>
        <b val="0"/>
        <i val="0"/>
        <strike val="0"/>
        <condense val="0"/>
        <extend val="0"/>
        <outline val="0"/>
        <shadow val="0"/>
        <u val="none"/>
        <vertAlign val="baseline"/>
        <sz val="12"/>
        <color rgb="FF000000"/>
        <name val="Roboto"/>
        <charset val="1"/>
        <scheme val="none"/>
      </font>
      <numFmt numFmtId="13" formatCode="0%"/>
      <fill>
        <patternFill patternType="none">
          <fgColor indexed="64"/>
          <bgColor indexed="65"/>
        </patternFill>
      </fill>
      <alignment horizontal="general" vertical="bottom" textRotation="0" wrapText="1" indent="0" justifyLastLine="0" shrinkToFit="0" readingOrder="0"/>
      <border diagonalUp="0" diagonalDown="0">
        <left style="thin">
          <color rgb="FFD5D5D5"/>
        </left>
        <right/>
        <top style="thin">
          <color rgb="FFD5D5D5"/>
        </top>
        <bottom/>
        <vertical/>
        <horizontal/>
      </border>
    </dxf>
    <dxf>
      <font>
        <b val="0"/>
        <i val="0"/>
        <strike val="0"/>
        <condense val="0"/>
        <extend val="0"/>
        <outline val="0"/>
        <shadow val="0"/>
        <u val="none"/>
        <vertAlign val="baseline"/>
        <sz val="12"/>
        <color rgb="FF000000"/>
        <name val="Roboto"/>
        <charset val="1"/>
        <scheme val="none"/>
      </font>
      <numFmt numFmtId="164" formatCode="0.0"/>
      <fill>
        <patternFill patternType="none">
          <fgColor indexed="64"/>
          <bgColor indexed="65"/>
        </patternFill>
      </fill>
      <alignment horizontal="general" vertical="bottom" textRotation="0" wrapText="1" indent="0" justifyLastLine="0" shrinkToFit="0" readingOrder="0"/>
      <border diagonalUp="0" diagonalDown="0">
        <left style="thin">
          <color rgb="FFD5D5D5"/>
        </left>
        <right/>
        <top style="thin">
          <color rgb="FFD5D5D5"/>
        </top>
        <bottom/>
        <vertical/>
        <horizontal/>
      </border>
    </dxf>
    <dxf>
      <font>
        <b val="0"/>
        <i val="0"/>
        <strike val="0"/>
        <condense val="0"/>
        <extend val="0"/>
        <outline val="0"/>
        <shadow val="0"/>
        <u val="none"/>
        <vertAlign val="baseline"/>
        <sz val="12"/>
        <color rgb="FF000000"/>
        <name val="Roboto"/>
        <charset val="1"/>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rgb="FFD5D5D5"/>
        </left>
        <right/>
        <top style="thin">
          <color rgb="FFD5D5D5"/>
        </top>
        <bottom/>
        <vertical/>
        <horizontal/>
      </border>
    </dxf>
    <dxf>
      <font>
        <b val="0"/>
        <i val="0"/>
        <strike val="0"/>
        <condense val="0"/>
        <extend val="0"/>
        <outline val="0"/>
        <shadow val="0"/>
        <u val="none"/>
        <vertAlign val="baseline"/>
        <sz val="12"/>
        <color rgb="FF000000"/>
        <name val="Roboto"/>
        <charset val="1"/>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rgb="FFD5D5D5"/>
        </left>
        <right/>
        <top style="thin">
          <color rgb="FFD5D5D5"/>
        </top>
        <bottom/>
        <vertical/>
        <horizontal/>
      </border>
    </dxf>
    <dxf>
      <font>
        <b val="0"/>
        <i val="0"/>
        <strike val="0"/>
        <condense val="0"/>
        <extend val="0"/>
        <outline val="0"/>
        <shadow val="0"/>
        <u val="none"/>
        <vertAlign val="baseline"/>
        <sz val="12"/>
        <color rgb="FF000000"/>
        <name val="Roboto"/>
        <charset val="1"/>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rgb="FFD5D5D5"/>
        </left>
        <right/>
        <top style="thin">
          <color rgb="FFD5D5D5"/>
        </top>
        <bottom/>
        <vertical/>
        <horizontal/>
      </border>
    </dxf>
    <dxf>
      <font>
        <b val="0"/>
        <i val="0"/>
        <strike val="0"/>
        <condense val="0"/>
        <extend val="0"/>
        <outline val="0"/>
        <shadow val="0"/>
        <u val="none"/>
        <vertAlign val="baseline"/>
        <sz val="12"/>
        <color rgb="FF000000"/>
        <name val="Roboto"/>
        <charset val="1"/>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rgb="FFD5D5D5"/>
        </left>
        <right/>
        <top style="thin">
          <color rgb="FFD5D5D5"/>
        </top>
        <bottom/>
        <vertical/>
        <horizontal/>
      </border>
    </dxf>
    <dxf>
      <font>
        <b val="0"/>
        <i val="0"/>
        <strike val="0"/>
        <condense val="0"/>
        <extend val="0"/>
        <outline val="0"/>
        <shadow val="0"/>
        <u val="none"/>
        <vertAlign val="baseline"/>
        <sz val="12"/>
        <color rgb="FF000000"/>
        <name val="Roboto"/>
        <charset val="1"/>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rgb="FFD5D5D5"/>
        </left>
        <right/>
        <top style="thin">
          <color rgb="FFD5D5D5"/>
        </top>
        <bottom/>
        <vertical/>
        <horizontal/>
      </border>
    </dxf>
    <dxf>
      <font>
        <b val="0"/>
        <i val="0"/>
        <strike val="0"/>
        <condense val="0"/>
        <extend val="0"/>
        <outline val="0"/>
        <shadow val="0"/>
        <u val="none"/>
        <vertAlign val="baseline"/>
        <sz val="12"/>
        <color rgb="FF000000"/>
        <name val="Roboto"/>
        <charset val="1"/>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rgb="FFD5D5D5"/>
        </left>
        <right/>
        <top style="thin">
          <color rgb="FFD5D5D5"/>
        </top>
        <bottom/>
        <vertical/>
        <horizontal/>
      </border>
    </dxf>
    <dxf>
      <font>
        <b val="0"/>
        <i val="0"/>
        <strike val="0"/>
        <condense val="0"/>
        <extend val="0"/>
        <outline val="0"/>
        <shadow val="0"/>
        <u val="none"/>
        <vertAlign val="baseline"/>
        <sz val="12"/>
        <color rgb="FF000000"/>
        <name val="Roboto"/>
        <charset val="1"/>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rgb="FFD5D5D5"/>
        </left>
        <right/>
        <top style="thin">
          <color rgb="FFD5D5D5"/>
        </top>
        <bottom/>
        <vertical/>
        <horizontal/>
      </border>
    </dxf>
    <dxf>
      <font>
        <b val="0"/>
        <i val="0"/>
        <strike val="0"/>
        <condense val="0"/>
        <extend val="0"/>
        <outline val="0"/>
        <shadow val="0"/>
        <u val="none"/>
        <vertAlign val="baseline"/>
        <sz val="12"/>
        <color rgb="FF000000"/>
        <name val="Roboto"/>
        <charset val="1"/>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rgb="FFD5D5D5"/>
        </left>
        <right/>
        <top style="thin">
          <color rgb="FFD5D5D5"/>
        </top>
        <bottom/>
        <vertical/>
        <horizontal/>
      </border>
    </dxf>
    <dxf>
      <font>
        <b val="0"/>
        <i val="0"/>
        <strike val="0"/>
        <condense val="0"/>
        <extend val="0"/>
        <outline val="0"/>
        <shadow val="0"/>
        <u val="none"/>
        <vertAlign val="baseline"/>
        <sz val="12"/>
        <color rgb="FF000000"/>
        <name val="Roboto"/>
        <charset val="1"/>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rgb="FFD5D5D5"/>
        </left>
        <right/>
        <top style="thin">
          <color rgb="FFD5D5D5"/>
        </top>
        <bottom/>
        <vertical/>
        <horizontal/>
      </border>
    </dxf>
    <dxf>
      <font>
        <b val="0"/>
        <i val="0"/>
        <strike val="0"/>
        <condense val="0"/>
        <extend val="0"/>
        <outline val="0"/>
        <shadow val="0"/>
        <u val="none"/>
        <vertAlign val="baseline"/>
        <sz val="12"/>
        <color rgb="FF000000"/>
        <name val="Roboto"/>
        <charset val="1"/>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rgb="FFD5D5D5"/>
        </left>
        <right/>
        <top style="thin">
          <color rgb="FFD5D5D5"/>
        </top>
        <bottom/>
        <vertical/>
        <horizontal/>
      </border>
    </dxf>
    <dxf>
      <font>
        <b val="0"/>
        <i val="0"/>
        <strike val="0"/>
        <condense val="0"/>
        <extend val="0"/>
        <outline val="0"/>
        <shadow val="0"/>
        <u val="none"/>
        <vertAlign val="baseline"/>
        <sz val="12"/>
        <color rgb="FF000000"/>
        <name val="Roboto"/>
        <charset val="1"/>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rgb="FFD5D5D5"/>
        </left>
        <right/>
        <top style="thin">
          <color rgb="FFD5D5D5"/>
        </top>
        <bottom/>
        <vertical/>
        <horizontal/>
      </border>
    </dxf>
    <dxf>
      <font>
        <b val="0"/>
        <i val="0"/>
        <strike val="0"/>
        <condense val="0"/>
        <extend val="0"/>
        <outline val="0"/>
        <shadow val="0"/>
        <u val="none"/>
        <vertAlign val="baseline"/>
        <sz val="12"/>
        <color rgb="FF000000"/>
        <name val="Roboto"/>
        <charset val="1"/>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rgb="FFD5D5D5"/>
        </left>
        <right/>
        <top style="thin">
          <color rgb="FFD5D5D5"/>
        </top>
        <bottom/>
        <vertical/>
        <horizontal/>
      </border>
    </dxf>
    <dxf>
      <font>
        <b val="0"/>
        <i val="0"/>
        <strike val="0"/>
        <condense val="0"/>
        <extend val="0"/>
        <outline val="0"/>
        <shadow val="0"/>
        <u val="none"/>
        <vertAlign val="baseline"/>
        <sz val="12"/>
        <color rgb="FF000000"/>
        <name val="Roboto"/>
        <charset val="1"/>
        <scheme val="none"/>
      </font>
      <fill>
        <patternFill patternType="none">
          <fgColor indexed="64"/>
          <bgColor indexed="65"/>
        </patternFill>
      </fill>
      <alignment horizontal="general" vertical="bottom" textRotation="0" wrapText="1" indent="0" justifyLastLine="0" shrinkToFit="0" readingOrder="0"/>
      <border diagonalUp="0" diagonalDown="0">
        <left/>
        <right/>
        <top style="thin">
          <color rgb="FFD5D5D5"/>
        </top>
        <bottom/>
        <vertical/>
        <horizontal/>
      </border>
    </dxf>
    <dxf>
      <border outline="0">
        <left style="thin">
          <color rgb="FFD5D5D5"/>
        </left>
        <right style="thin">
          <color rgb="FFD5D5D5"/>
        </right>
        <top style="thin">
          <color rgb="FFD5D5D5"/>
        </top>
        <bottom style="thin">
          <color rgb="FFD5D5D5"/>
        </bottom>
      </border>
    </dxf>
    <dxf>
      <font>
        <b val="0"/>
        <i val="0"/>
        <strike val="0"/>
        <condense val="0"/>
        <extend val="0"/>
        <outline val="0"/>
        <shadow val="0"/>
        <u val="none"/>
        <vertAlign val="baseline"/>
        <sz val="12"/>
        <color rgb="FF000000"/>
        <name val="Roboto"/>
        <charset val="1"/>
        <scheme val="none"/>
      </font>
      <fill>
        <patternFill patternType="none">
          <fgColor indexed="64"/>
          <bgColor indexed="65"/>
        </patternFill>
      </fill>
      <alignment horizontal="general" vertical="bottom" textRotation="0" wrapText="1" indent="0" justifyLastLine="0" shrinkToFit="0" readingOrder="0"/>
    </dxf>
    <dxf>
      <font>
        <b/>
        <i val="0"/>
        <strike val="0"/>
        <condense val="0"/>
        <extend val="0"/>
        <outline val="0"/>
        <shadow val="0"/>
        <u val="none"/>
        <vertAlign val="baseline"/>
        <sz val="16"/>
        <color theme="1"/>
        <name val="Roboto"/>
        <charset val="1"/>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rgb="FFD5D5D5"/>
        </left>
        <right style="thin">
          <color rgb="FFD5D5D5"/>
        </right>
        <top/>
        <bottom/>
      </border>
    </dxf>
    <dxf>
      <font>
        <color theme="1"/>
      </font>
      <fill>
        <patternFill patternType="solid">
          <bgColor theme="9" tint="0.59999389629810485"/>
        </patternFill>
      </fill>
    </dxf>
    <dxf>
      <fill>
        <patternFill>
          <bgColor rgb="FFFFC7CE"/>
        </patternFill>
      </fill>
    </dxf>
    <dxf>
      <font>
        <color theme="9" tint="-0.249977111117893"/>
      </font>
      <fill>
        <patternFill patternType="solid">
          <fgColor indexed="64"/>
          <bgColor theme="0" tint="-4.9989318521683403E-2"/>
        </patternFill>
      </fill>
      <alignment vertical="top"/>
      <border>
        <left style="thin">
          <color rgb="FF000000"/>
        </left>
        <right/>
        <top style="thin">
          <color rgb="FF000000"/>
        </top>
        <bottom style="thin">
          <color rgb="FF000000"/>
        </bottom>
        <vertical style="thin">
          <color rgb="FF000000"/>
        </vertical>
        <horizontal style="thin">
          <color rgb="FF000000"/>
        </horizontal>
      </border>
    </dxf>
    <dxf>
      <font>
        <color rgb="FFCF0404"/>
      </font>
      <fill>
        <patternFill patternType="solid">
          <fgColor indexed="64"/>
          <bgColor theme="0" tint="-4.9989318521683403E-2"/>
        </patternFill>
      </fill>
      <alignmen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theme="3"/>
      </font>
      <fill>
        <patternFill patternType="solid">
          <fgColor indexed="64"/>
          <bgColor theme="0" tint="-4.9989318521683403E-2"/>
        </patternFill>
      </fill>
      <alignment vertical="top"/>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fill>
        <patternFill patternType="solid">
          <fgColor indexed="64"/>
          <bgColor theme="0" tint="-4.9989318521683403E-2"/>
        </patternFill>
      </fill>
      <alignment vertical="top"/>
    </dxf>
    <dxf>
      <font>
        <b/>
        <i val="0"/>
        <strike val="0"/>
        <condense val="0"/>
        <extend val="0"/>
        <outline val="0"/>
        <shadow val="0"/>
        <u val="none"/>
        <vertAlign val="baseline"/>
        <sz val="11"/>
        <color theme="1"/>
        <name val="Aptos Narrow"/>
        <family val="2"/>
        <scheme val="minor"/>
      </font>
      <fill>
        <patternFill patternType="solid">
          <fgColor indexed="64"/>
          <bgColor theme="2" tint="-0.249977111117893"/>
        </patternFill>
      </fill>
      <alignment vertical="top"/>
      <border>
        <left style="thin">
          <color rgb="FF000000"/>
        </left>
        <right style="thin">
          <color rgb="FF000000"/>
        </right>
        <top/>
        <bottom/>
        <vertical style="thin">
          <color rgb="FF000000"/>
        </vertical>
        <horizontal style="thin">
          <color rgb="FF000000"/>
        </horizontal>
      </border>
    </dxf>
    <dxf>
      <font>
        <sz val="12"/>
      </font>
      <alignment horizontal="left" vertical="top" textRotation="0" wrapText="1" indent="0" justifyLastLine="0" shrinkToFit="0" readingOrder="0"/>
    </dxf>
    <dxf>
      <font>
        <sz val="12"/>
      </font>
      <alignment horizontal="left" vertical="top" wrapText="1"/>
    </dxf>
    <dxf>
      <font>
        <sz val="12"/>
      </font>
      <alignment horizontal="left" vertical="top" textRotation="0" wrapText="1" indent="0" justifyLastLine="0" shrinkToFit="0" readingOrder="0"/>
    </dxf>
    <dxf>
      <font>
        <sz val="12"/>
      </font>
      <alignment horizontal="left" vertical="top" textRotation="0" wrapText="1" indent="0" justifyLastLine="0" shrinkToFit="0" readingOrder="0"/>
    </dxf>
    <dxf>
      <font>
        <b/>
        <i val="0"/>
        <strike val="0"/>
        <condense val="0"/>
        <extend val="0"/>
        <outline val="0"/>
        <shadow val="0"/>
        <u val="none"/>
        <vertAlign val="baseline"/>
        <sz val="12"/>
        <color theme="1"/>
        <name val="Aptos Narrow"/>
        <family val="2"/>
        <scheme val="minor"/>
      </font>
      <alignment horizontal="left" vertical="top" wrapText="1"/>
    </dxf>
    <dxf>
      <font>
        <sz val="12"/>
        <family val="2"/>
      </font>
      <alignment horizontal="left" vertical="top" textRotation="0" wrapText="1" indent="0" justifyLastLine="0" shrinkToFit="0" readingOrder="0"/>
    </dxf>
    <dxf>
      <font>
        <b/>
        <i val="0"/>
        <strike val="0"/>
        <condense val="0"/>
        <extend val="0"/>
        <outline val="0"/>
        <shadow val="0"/>
        <u val="none"/>
        <vertAlign val="baseline"/>
        <sz val="16"/>
        <color theme="1"/>
        <name val="Aptos Narrow"/>
        <family val="2"/>
        <scheme val="minor"/>
      </font>
      <alignment horizontal="general" vertical="bottom" textRotation="0" wrapText="1" indent="0" justifyLastLine="0" shrinkToFit="0" readingOrder="0"/>
    </dxf>
    <dxf>
      <border outline="0">
        <left style="thin">
          <color rgb="FFD5D5D5"/>
        </left>
        <right style="thin">
          <color rgb="FFD5D5D5"/>
        </right>
        <top style="thin">
          <color rgb="FFD5D5D5"/>
        </top>
        <bottom style="thin">
          <color rgb="FFD5D5D5"/>
        </bottom>
      </border>
    </dxf>
    <dxf>
      <font>
        <sz val="12"/>
      </font>
      <alignment horizontal="left" vertical="top" textRotation="0" wrapText="0" relativeIndent="-1" justifyLastLine="0" shrinkToFit="0" readingOrder="0"/>
    </dxf>
    <dxf>
      <font>
        <b/>
        <i val="0"/>
        <strike val="0"/>
        <condense val="0"/>
        <extend val="0"/>
        <outline val="0"/>
        <shadow val="0"/>
        <u val="none"/>
        <vertAlign val="baseline"/>
        <sz val="12"/>
        <color theme="1"/>
        <name val="Aptos Narrow"/>
        <family val="2"/>
        <scheme val="minor"/>
      </font>
      <alignment horizontal="left" vertical="top" wrapText="0" relativeIndent="-1"/>
    </dxf>
    <dxf>
      <font>
        <sz val="12"/>
      </font>
      <alignment horizontal="center" vertical="top" wrapText="0" relativeIndent="1"/>
    </dxf>
    <dxf>
      <alignment horizontal="center" vertical="center" wrapText="0" relativeIndent="1"/>
    </dxf>
    <dxf>
      <numFmt numFmtId="165" formatCode="[$₹-4009]\ #,##0.00"/>
    </dxf>
    <dxf>
      <numFmt numFmtId="169" formatCode="_ [$₹-4009]\ * #,##0.00_ ;_ [$₹-4009]\ * \-#,##0.00_ ;_ [$₹-4009]\ * &quot;-&quot;??_ ;_ @_ "/>
    </dxf>
    <dxf>
      <alignment horizontal="right"/>
    </dxf>
    <dxf>
      <numFmt numFmtId="168" formatCode="[$₹-4009]\ #,##0"/>
    </dxf>
  </dxfs>
  <tableStyles count="0" defaultTableStyle="TableStyleMedium2" defaultPivotStyle="PivotStyleMedium9"/>
  <colors>
    <mruColors>
      <color rgb="FF4F4F4F"/>
      <color rgb="FFF2F2F2"/>
      <color rgb="FFC9C9C9"/>
      <color rgb="FFFEFEFE"/>
      <color rgb="FFFFFFFF"/>
      <color rgb="FFCF04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[Excel_Marketing_Analysis_Final.xlsx]Pivot Analysis!PivotTable1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ROI by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Analysis'!$B$8</c:f>
              <c:strCache>
                <c:ptCount val="1"/>
                <c:pt idx="0">
                  <c:v>Total</c:v>
                </c:pt>
              </c:strCache>
            </c:strRef>
          </c:tx>
          <c:spPr>
            <a:solidFill>
              <a:srgbClr val="637C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Analysis'!$A$9:$A$12</c:f>
              <c:strCache>
                <c:ptCount val="4"/>
                <c:pt idx="0">
                  <c:v>Google</c:v>
                </c:pt>
                <c:pt idx="1">
                  <c:v>Meta</c:v>
                </c:pt>
                <c:pt idx="2">
                  <c:v>LinkedIn</c:v>
                </c:pt>
                <c:pt idx="3">
                  <c:v>YouTube</c:v>
                </c:pt>
              </c:strCache>
            </c:strRef>
          </c:cat>
          <c:val>
            <c:numRef>
              <c:f>'Pivot Analysis'!$B$9:$B$12</c:f>
              <c:numCache>
                <c:formatCode>0%</c:formatCode>
                <c:ptCount val="4"/>
                <c:pt idx="0">
                  <c:v>7.8528878193838745</c:v>
                </c:pt>
                <c:pt idx="1">
                  <c:v>2.1184044574672272</c:v>
                </c:pt>
                <c:pt idx="2">
                  <c:v>0.50686570861897073</c:v>
                </c:pt>
                <c:pt idx="3">
                  <c:v>0.20412389696331559</c:v>
                </c:pt>
              </c:numCache>
            </c:numRef>
          </c:val>
          <c:extLst>
            <c:ext xmlns:c16="http://schemas.microsoft.com/office/drawing/2014/chart" uri="{C3380CC4-5D6E-409C-BE32-E72D297353CC}">
              <c16:uniqueId val="{00000003-F867-4534-9BF3-951AC4666AF3}"/>
            </c:ext>
          </c:extLst>
        </c:ser>
        <c:dLbls>
          <c:dLblPos val="outEnd"/>
          <c:showLegendKey val="0"/>
          <c:showVal val="1"/>
          <c:showCatName val="0"/>
          <c:showSerName val="0"/>
          <c:showPercent val="0"/>
          <c:showBubbleSize val="0"/>
        </c:dLbls>
        <c:gapWidth val="219"/>
        <c:axId val="149106696"/>
        <c:axId val="149109768"/>
      </c:barChart>
      <c:catAx>
        <c:axId val="149106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09768"/>
        <c:crosses val="autoZero"/>
        <c:auto val="1"/>
        <c:lblAlgn val="ctr"/>
        <c:lblOffset val="100"/>
        <c:noMultiLvlLbl val="0"/>
      </c:catAx>
      <c:valAx>
        <c:axId val="149109768"/>
        <c:scaling>
          <c:orientation val="minMax"/>
          <c:max val="8.5"/>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06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[Excel_Marketing_Analysis_Final.xlsx]Pivot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 vs Revenue by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873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87331"/>
          </a:solidFill>
          <a:ln>
            <a:noFill/>
          </a:ln>
          <a:effectLst/>
        </c:spPr>
      </c:pivotFmt>
      <c:pivotFmt>
        <c:idx val="3"/>
        <c:spPr>
          <a:solidFill>
            <a:srgbClr val="E87331"/>
          </a:solidFill>
          <a:ln>
            <a:noFill/>
          </a:ln>
          <a:effectLst/>
        </c:spPr>
      </c:pivotFmt>
      <c:pivotFmt>
        <c:idx val="4"/>
        <c:spPr>
          <a:solidFill>
            <a:srgbClr val="E87331"/>
          </a:solidFill>
          <a:ln>
            <a:noFill/>
          </a:ln>
          <a:effectLst/>
        </c:spPr>
      </c:pivotFmt>
      <c:pivotFmt>
        <c:idx val="5"/>
        <c:spPr>
          <a:solidFill>
            <a:srgbClr val="E87331"/>
          </a:solidFill>
          <a:ln>
            <a:noFill/>
          </a:ln>
          <a:effectLst/>
        </c:spPr>
      </c:pivotFmt>
    </c:pivotFmts>
    <c:plotArea>
      <c:layout/>
      <c:barChart>
        <c:barDir val="col"/>
        <c:grouping val="clustered"/>
        <c:varyColors val="0"/>
        <c:ser>
          <c:idx val="0"/>
          <c:order val="0"/>
          <c:tx>
            <c:strRef>
              <c:f>'Pivot Analysis'!$B$21</c:f>
              <c:strCache>
                <c:ptCount val="1"/>
                <c:pt idx="0">
                  <c:v>Sum of spend_inr</c:v>
                </c:pt>
              </c:strCache>
            </c:strRef>
          </c:tx>
          <c:spPr>
            <a:solidFill>
              <a:srgbClr val="637CEF"/>
            </a:solidFill>
            <a:ln>
              <a:noFill/>
            </a:ln>
            <a:effectLst/>
          </c:spPr>
          <c:invertIfNegative val="0"/>
          <c:dLbls>
            <c:delete val="1"/>
          </c:dLbls>
          <c:cat>
            <c:strRef>
              <c:f>'Pivot Analysis'!$A$22:$A$25</c:f>
              <c:strCache>
                <c:ptCount val="4"/>
                <c:pt idx="0">
                  <c:v>Google</c:v>
                </c:pt>
                <c:pt idx="1">
                  <c:v>Meta</c:v>
                </c:pt>
                <c:pt idx="2">
                  <c:v>LinkedIn</c:v>
                </c:pt>
                <c:pt idx="3">
                  <c:v>YouTube</c:v>
                </c:pt>
              </c:strCache>
            </c:strRef>
          </c:cat>
          <c:val>
            <c:numRef>
              <c:f>'Pivot Analysis'!$B$22:$B$25</c:f>
              <c:numCache>
                <c:formatCode>[$₹-4009]\ #,##0</c:formatCode>
                <c:ptCount val="4"/>
                <c:pt idx="0">
                  <c:v>345248.64999999985</c:v>
                </c:pt>
                <c:pt idx="1">
                  <c:v>325666.17999999993</c:v>
                </c:pt>
                <c:pt idx="2">
                  <c:v>547424.43000000005</c:v>
                </c:pt>
                <c:pt idx="3">
                  <c:v>384125.93999999994</c:v>
                </c:pt>
              </c:numCache>
            </c:numRef>
          </c:val>
          <c:extLst>
            <c:ext xmlns:c16="http://schemas.microsoft.com/office/drawing/2014/chart" uri="{C3380CC4-5D6E-409C-BE32-E72D297353CC}">
              <c16:uniqueId val="{0000001D-4F72-4351-97B0-96003C111BDE}"/>
            </c:ext>
          </c:extLst>
        </c:ser>
        <c:ser>
          <c:idx val="1"/>
          <c:order val="1"/>
          <c:tx>
            <c:strRef>
              <c:f>'Pivot Analysis'!$C$21</c:f>
              <c:strCache>
                <c:ptCount val="1"/>
                <c:pt idx="0">
                  <c:v>Sum of revenue_inr</c:v>
                </c:pt>
              </c:strCache>
            </c:strRef>
          </c:tx>
          <c:spPr>
            <a:solidFill>
              <a:srgbClr val="E873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Analysis'!$A$22:$A$25</c:f>
              <c:strCache>
                <c:ptCount val="4"/>
                <c:pt idx="0">
                  <c:v>Google</c:v>
                </c:pt>
                <c:pt idx="1">
                  <c:v>Meta</c:v>
                </c:pt>
                <c:pt idx="2">
                  <c:v>LinkedIn</c:v>
                </c:pt>
                <c:pt idx="3">
                  <c:v>YouTube</c:v>
                </c:pt>
              </c:strCache>
            </c:strRef>
          </c:cat>
          <c:val>
            <c:numRef>
              <c:f>'Pivot Analysis'!$C$22:$C$25</c:f>
              <c:numCache>
                <c:formatCode>[$₹-4009]\ #,##0</c:formatCode>
                <c:ptCount val="4"/>
                <c:pt idx="0">
                  <c:v>3148440.0300000003</c:v>
                </c:pt>
                <c:pt idx="1">
                  <c:v>971192.6100000001</c:v>
                </c:pt>
                <c:pt idx="2">
                  <c:v>730912.19000000006</c:v>
                </c:pt>
                <c:pt idx="3">
                  <c:v>446084.24999999988</c:v>
                </c:pt>
              </c:numCache>
            </c:numRef>
          </c:val>
          <c:extLst>
            <c:ext xmlns:c16="http://schemas.microsoft.com/office/drawing/2014/chart" uri="{C3380CC4-5D6E-409C-BE32-E72D297353CC}">
              <c16:uniqueId val="{0000001F-4F72-4351-97B0-96003C111BDE}"/>
            </c:ext>
          </c:extLst>
        </c:ser>
        <c:dLbls>
          <c:dLblPos val="outEnd"/>
          <c:showLegendKey val="0"/>
          <c:showVal val="1"/>
          <c:showCatName val="0"/>
          <c:showSerName val="0"/>
          <c:showPercent val="0"/>
          <c:showBubbleSize val="0"/>
        </c:dLbls>
        <c:gapWidth val="219"/>
        <c:overlap val="-27"/>
        <c:axId val="135335944"/>
        <c:axId val="135337992"/>
      </c:barChart>
      <c:catAx>
        <c:axId val="135335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37992"/>
        <c:crosses val="autoZero"/>
        <c:auto val="1"/>
        <c:lblAlgn val="ctr"/>
        <c:lblOffset val="100"/>
        <c:noMultiLvlLbl val="0"/>
      </c:catAx>
      <c:valAx>
        <c:axId val="135337992"/>
        <c:scaling>
          <c:orientation val="minMax"/>
          <c:max val="3500000"/>
        </c:scaling>
        <c:delete val="0"/>
        <c:axPos val="l"/>
        <c:numFmt formatCode="[$₹-4009]\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35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Dashboard!$L$499</c:f>
              <c:strCache>
                <c:ptCount val="1"/>
                <c:pt idx="0">
                  <c:v>Average of CPC</c:v>
                </c:pt>
              </c:strCache>
            </c:strRef>
          </c:tx>
          <c:spPr>
            <a:solidFill>
              <a:srgbClr val="637CEF"/>
            </a:solidFill>
            <a:ln>
              <a:noFill/>
            </a:ln>
            <a:effectLst/>
          </c:spPr>
          <c:invertIfNegative val="0"/>
          <c:cat>
            <c:strRef>
              <c:f>Dashboard!$K$500:$K$503</c:f>
              <c:strCache>
                <c:ptCount val="4"/>
                <c:pt idx="0">
                  <c:v>Google</c:v>
                </c:pt>
                <c:pt idx="1">
                  <c:v>Meta</c:v>
                </c:pt>
                <c:pt idx="2">
                  <c:v>LinkedIn</c:v>
                </c:pt>
                <c:pt idx="3">
                  <c:v>YouTube</c:v>
                </c:pt>
              </c:strCache>
            </c:strRef>
          </c:cat>
          <c:val>
            <c:numRef>
              <c:f>Dashboard!$L$500:$L$503</c:f>
              <c:numCache>
                <c:formatCode>0.00</c:formatCode>
                <c:ptCount val="4"/>
                <c:pt idx="0">
                  <c:v>6.6800961835767918</c:v>
                </c:pt>
                <c:pt idx="1">
                  <c:v>10.617319326779283</c:v>
                </c:pt>
                <c:pt idx="2">
                  <c:v>22.604091393809611</c:v>
                </c:pt>
                <c:pt idx="3">
                  <c:v>16.877519826757975</c:v>
                </c:pt>
              </c:numCache>
            </c:numRef>
          </c:val>
          <c:extLst>
            <c:ext xmlns:c16="http://schemas.microsoft.com/office/drawing/2014/chart" uri="{C3380CC4-5D6E-409C-BE32-E72D297353CC}">
              <c16:uniqueId val="{00000000-839D-4440-80DF-CC637168CDEB}"/>
            </c:ext>
          </c:extLst>
        </c:ser>
        <c:dLbls>
          <c:showLegendKey val="0"/>
          <c:showVal val="0"/>
          <c:showCatName val="0"/>
          <c:showSerName val="0"/>
          <c:showPercent val="0"/>
          <c:showBubbleSize val="0"/>
        </c:dLbls>
        <c:gapWidth val="219"/>
        <c:overlap val="-27"/>
        <c:axId val="1091781127"/>
        <c:axId val="1091783175"/>
      </c:barChart>
      <c:catAx>
        <c:axId val="1091781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783175"/>
        <c:crosses val="autoZero"/>
        <c:auto val="1"/>
        <c:lblAlgn val="ctr"/>
        <c:lblOffset val="100"/>
        <c:noMultiLvlLbl val="0"/>
      </c:catAx>
      <c:valAx>
        <c:axId val="10917831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7811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 Rate by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Dashboard!$M$510</c:f>
              <c:strCache>
                <c:ptCount val="1"/>
                <c:pt idx="0">
                  <c:v>Average of Engagement_Rate</c:v>
                </c:pt>
              </c:strCache>
            </c:strRef>
          </c:tx>
          <c:spPr>
            <a:solidFill>
              <a:srgbClr val="637C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Dashboard!$L$511:$L$514</c:f>
              <c:strCache>
                <c:ptCount val="4"/>
                <c:pt idx="0">
                  <c:v>Google</c:v>
                </c:pt>
                <c:pt idx="1">
                  <c:v>Meta</c:v>
                </c:pt>
                <c:pt idx="2">
                  <c:v>LinkedIn</c:v>
                </c:pt>
                <c:pt idx="3">
                  <c:v>YouTube</c:v>
                </c:pt>
              </c:strCache>
            </c:strRef>
          </c:cat>
          <c:val>
            <c:numRef>
              <c:f>Dashboard!$M$511:$M$514</c:f>
              <c:numCache>
                <c:formatCode>0.00%</c:formatCode>
                <c:ptCount val="4"/>
                <c:pt idx="0">
                  <c:v>0</c:v>
                </c:pt>
                <c:pt idx="1">
                  <c:v>6.5423812686728885E-3</c:v>
                </c:pt>
                <c:pt idx="2">
                  <c:v>3.9499236518753091E-3</c:v>
                </c:pt>
                <c:pt idx="3">
                  <c:v>4.340242329009111E-3</c:v>
                </c:pt>
              </c:numCache>
            </c:numRef>
          </c:val>
          <c:extLst>
            <c:ext xmlns:c16="http://schemas.microsoft.com/office/drawing/2014/chart" uri="{C3380CC4-5D6E-409C-BE32-E72D297353CC}">
              <c16:uniqueId val="{00000000-243B-44AA-9C53-9BC02E5B2F4C}"/>
            </c:ext>
          </c:extLst>
        </c:ser>
        <c:dLbls>
          <c:dLblPos val="outEnd"/>
          <c:showLegendKey val="0"/>
          <c:showVal val="1"/>
          <c:showCatName val="0"/>
          <c:showSerName val="0"/>
          <c:showPercent val="0"/>
          <c:showBubbleSize val="0"/>
        </c:dLbls>
        <c:gapWidth val="219"/>
        <c:overlap val="-27"/>
        <c:axId val="162261512"/>
        <c:axId val="162264584"/>
      </c:barChart>
      <c:catAx>
        <c:axId val="162261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64584"/>
        <c:crosses val="autoZero"/>
        <c:auto val="1"/>
        <c:lblAlgn val="ctr"/>
        <c:lblOffset val="100"/>
        <c:noMultiLvlLbl val="0"/>
      </c:catAx>
      <c:valAx>
        <c:axId val="1622645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61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[Excel_Marketing_Analysis_Final.xlsx]Pivot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Conversions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Analysis'!$B$73</c:f>
              <c:strCache>
                <c:ptCount val="1"/>
                <c:pt idx="0">
                  <c:v>Total</c:v>
                </c:pt>
              </c:strCache>
            </c:strRef>
          </c:tx>
          <c:spPr>
            <a:solidFill>
              <a:srgbClr val="637C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Analysis'!$A$74:$A$78</c:f>
              <c:strCache>
                <c:ptCount val="5"/>
                <c:pt idx="0">
                  <c:v>South</c:v>
                </c:pt>
                <c:pt idx="1">
                  <c:v>East</c:v>
                </c:pt>
                <c:pt idx="2">
                  <c:v>North</c:v>
                </c:pt>
                <c:pt idx="3">
                  <c:v>Central</c:v>
                </c:pt>
                <c:pt idx="4">
                  <c:v>West</c:v>
                </c:pt>
              </c:strCache>
            </c:strRef>
          </c:cat>
          <c:val>
            <c:numRef>
              <c:f>'Pivot Analysis'!$B$74:$B$78</c:f>
              <c:numCache>
                <c:formatCode>General</c:formatCode>
                <c:ptCount val="5"/>
                <c:pt idx="0">
                  <c:v>1241</c:v>
                </c:pt>
                <c:pt idx="1">
                  <c:v>1146</c:v>
                </c:pt>
                <c:pt idx="2">
                  <c:v>947</c:v>
                </c:pt>
                <c:pt idx="3">
                  <c:v>934</c:v>
                </c:pt>
                <c:pt idx="4">
                  <c:v>817</c:v>
                </c:pt>
              </c:numCache>
            </c:numRef>
          </c:val>
          <c:extLst>
            <c:ext xmlns:c16="http://schemas.microsoft.com/office/drawing/2014/chart" uri="{C3380CC4-5D6E-409C-BE32-E72D297353CC}">
              <c16:uniqueId val="{00000003-1E9E-43B2-A17E-B640CA3ADF0D}"/>
            </c:ext>
          </c:extLst>
        </c:ser>
        <c:dLbls>
          <c:dLblPos val="outEnd"/>
          <c:showLegendKey val="0"/>
          <c:showVal val="1"/>
          <c:showCatName val="0"/>
          <c:showSerName val="0"/>
          <c:showPercent val="0"/>
          <c:showBubbleSize val="0"/>
        </c:dLbls>
        <c:gapWidth val="219"/>
        <c:overlap val="-27"/>
        <c:axId val="54644232"/>
        <c:axId val="389256712"/>
      </c:barChart>
      <c:catAx>
        <c:axId val="54644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256712"/>
        <c:crosses val="autoZero"/>
        <c:auto val="1"/>
        <c:lblAlgn val="ctr"/>
        <c:lblOffset val="100"/>
        <c:noMultiLvlLbl val="0"/>
      </c:catAx>
      <c:valAx>
        <c:axId val="389256712"/>
        <c:scaling>
          <c:orientation val="minMax"/>
          <c:max val="13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44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666750</xdr:colOff>
      <xdr:row>9</xdr:row>
      <xdr:rowOff>19050</xdr:rowOff>
    </xdr:from>
    <xdr:to>
      <xdr:col>6</xdr:col>
      <xdr:colOff>104775</xdr:colOff>
      <xdr:row>23</xdr:row>
      <xdr:rowOff>47625</xdr:rowOff>
    </xdr:to>
    <xdr:graphicFrame macro="">
      <xdr:nvGraphicFramePr>
        <xdr:cNvPr id="4" name="Chart 3">
          <a:extLst>
            <a:ext uri="{FF2B5EF4-FFF2-40B4-BE49-F238E27FC236}">
              <a16:creationId xmlns:a16="http://schemas.microsoft.com/office/drawing/2014/main" id="{71FEA926-238E-D0D6-07CE-B8C41C38E3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9</xdr:row>
      <xdr:rowOff>19050</xdr:rowOff>
    </xdr:from>
    <xdr:to>
      <xdr:col>15</xdr:col>
      <xdr:colOff>9525</xdr:colOff>
      <xdr:row>23</xdr:row>
      <xdr:rowOff>47625</xdr:rowOff>
    </xdr:to>
    <xdr:graphicFrame macro="">
      <xdr:nvGraphicFramePr>
        <xdr:cNvPr id="5" name="Chart 4">
          <a:extLst>
            <a:ext uri="{FF2B5EF4-FFF2-40B4-BE49-F238E27FC236}">
              <a16:creationId xmlns:a16="http://schemas.microsoft.com/office/drawing/2014/main" id="{B9DD240D-FA2F-50A8-4410-7CA93AF84E9E}"/>
            </a:ext>
            <a:ext uri="{147F2762-F138-4A5C-976F-8EAC2B608ADB}">
              <a16:predDERef xmlns:a16="http://schemas.microsoft.com/office/drawing/2014/main" pred="{71FEA926-238E-D0D6-07CE-B8C41C38E3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676275</xdr:colOff>
      <xdr:row>27</xdr:row>
      <xdr:rowOff>142875</xdr:rowOff>
    </xdr:from>
    <xdr:to>
      <xdr:col>6</xdr:col>
      <xdr:colOff>85725</xdr:colOff>
      <xdr:row>42</xdr:row>
      <xdr:rowOff>28575</xdr:rowOff>
    </xdr:to>
    <xdr:graphicFrame macro="">
      <xdr:nvGraphicFramePr>
        <xdr:cNvPr id="9" name="Chart 8">
          <a:extLst>
            <a:ext uri="{FF2B5EF4-FFF2-40B4-BE49-F238E27FC236}">
              <a16:creationId xmlns:a16="http://schemas.microsoft.com/office/drawing/2014/main" id="{937B4AF7-9C23-12A2-3A64-BE8FE99391ED}"/>
            </a:ext>
            <a:ext uri="{147F2762-F138-4A5C-976F-8EAC2B608ADB}">
              <a16:predDERef xmlns:a16="http://schemas.microsoft.com/office/drawing/2014/main" pred="{B9DD240D-FA2F-50A8-4410-7CA93AF84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57150</xdr:colOff>
      <xdr:row>27</xdr:row>
      <xdr:rowOff>133350</xdr:rowOff>
    </xdr:from>
    <xdr:to>
      <xdr:col>15</xdr:col>
      <xdr:colOff>0</xdr:colOff>
      <xdr:row>42</xdr:row>
      <xdr:rowOff>19050</xdr:rowOff>
    </xdr:to>
    <xdr:graphicFrame macro="">
      <xdr:nvGraphicFramePr>
        <xdr:cNvPr id="11" name="Chart 10">
          <a:extLst>
            <a:ext uri="{FF2B5EF4-FFF2-40B4-BE49-F238E27FC236}">
              <a16:creationId xmlns:a16="http://schemas.microsoft.com/office/drawing/2014/main" id="{BC15FC68-62F1-4E3C-A219-12C6B6F76782}"/>
            </a:ext>
            <a:ext uri="{147F2762-F138-4A5C-976F-8EAC2B608ADB}">
              <a16:predDERef xmlns:a16="http://schemas.microsoft.com/office/drawing/2014/main" pred="{937B4AF7-9C23-12A2-3A64-BE8FE9939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314325</xdr:colOff>
      <xdr:row>46</xdr:row>
      <xdr:rowOff>114300</xdr:rowOff>
    </xdr:from>
    <xdr:to>
      <xdr:col>10</xdr:col>
      <xdr:colOff>238125</xdr:colOff>
      <xdr:row>61</xdr:row>
      <xdr:rowOff>0</xdr:rowOff>
    </xdr:to>
    <xdr:graphicFrame macro="">
      <xdr:nvGraphicFramePr>
        <xdr:cNvPr id="12" name="Chart 11">
          <a:extLst>
            <a:ext uri="{FF2B5EF4-FFF2-40B4-BE49-F238E27FC236}">
              <a16:creationId xmlns:a16="http://schemas.microsoft.com/office/drawing/2014/main" id="{4F3EFC0B-63AD-A343-DCF8-DBBA866E07A5}"/>
            </a:ext>
            <a:ext uri="{147F2762-F138-4A5C-976F-8EAC2B608ADB}">
              <a16:predDERef xmlns:a16="http://schemas.microsoft.com/office/drawing/2014/main" pred="{BC15FC68-62F1-4E3C-A219-12C6B6F76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14</xdr:row>
      <xdr:rowOff>95250</xdr:rowOff>
    </xdr:from>
    <xdr:to>
      <xdr:col>5</xdr:col>
      <xdr:colOff>66675</xdr:colOff>
      <xdr:row>14</xdr:row>
      <xdr:rowOff>104775</xdr:rowOff>
    </xdr:to>
    <xdr:cxnSp macro="">
      <xdr:nvCxnSpPr>
        <xdr:cNvPr id="5" name="Straight Connector 4">
          <a:extLst>
            <a:ext uri="{FF2B5EF4-FFF2-40B4-BE49-F238E27FC236}">
              <a16:creationId xmlns:a16="http://schemas.microsoft.com/office/drawing/2014/main" id="{50A4BC97-6C54-14F2-FD52-1183DC5990CD}"/>
            </a:ext>
          </a:extLst>
        </xdr:cNvPr>
        <xdr:cNvCxnSpPr>
          <a:cxnSpLocks/>
        </xdr:cNvCxnSpPr>
      </xdr:nvCxnSpPr>
      <xdr:spPr>
        <a:xfrm flipV="1">
          <a:off x="0" y="2876550"/>
          <a:ext cx="4972050" cy="9525"/>
        </a:xfrm>
        <a:prstGeom prst="line">
          <a:avLst/>
        </a:prstGeom>
        <a:ln>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22</xdr:row>
      <xdr:rowOff>95250</xdr:rowOff>
    </xdr:from>
    <xdr:to>
      <xdr:col>5</xdr:col>
      <xdr:colOff>47625</xdr:colOff>
      <xdr:row>22</xdr:row>
      <xdr:rowOff>104775</xdr:rowOff>
    </xdr:to>
    <xdr:cxnSp macro="">
      <xdr:nvCxnSpPr>
        <xdr:cNvPr id="2" name="Straight Connector 1">
          <a:extLst>
            <a:ext uri="{FF2B5EF4-FFF2-40B4-BE49-F238E27FC236}">
              <a16:creationId xmlns:a16="http://schemas.microsoft.com/office/drawing/2014/main" id="{C7489F10-2815-425A-BEFB-F4AC1C025EE3}"/>
            </a:ext>
            <a:ext uri="{147F2762-F138-4A5C-976F-8EAC2B608ADB}">
              <a16:predDERef xmlns:a16="http://schemas.microsoft.com/office/drawing/2014/main" pred="{50A4BC97-6C54-14F2-FD52-1183DC5990CD}"/>
            </a:ext>
          </a:extLst>
        </xdr:cNvPr>
        <xdr:cNvCxnSpPr>
          <a:cxnSpLocks/>
        </xdr:cNvCxnSpPr>
      </xdr:nvCxnSpPr>
      <xdr:spPr>
        <a:xfrm flipV="1">
          <a:off x="0" y="4438650"/>
          <a:ext cx="4953000" cy="9525"/>
        </a:xfrm>
        <a:prstGeom prst="line">
          <a:avLst/>
        </a:prstGeom>
        <a:ln>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30</xdr:row>
      <xdr:rowOff>95250</xdr:rowOff>
    </xdr:from>
    <xdr:to>
      <xdr:col>5</xdr:col>
      <xdr:colOff>57150</xdr:colOff>
      <xdr:row>30</xdr:row>
      <xdr:rowOff>104775</xdr:rowOff>
    </xdr:to>
    <xdr:cxnSp macro="">
      <xdr:nvCxnSpPr>
        <xdr:cNvPr id="3" name="Straight Connector 2">
          <a:extLst>
            <a:ext uri="{FF2B5EF4-FFF2-40B4-BE49-F238E27FC236}">
              <a16:creationId xmlns:a16="http://schemas.microsoft.com/office/drawing/2014/main" id="{E77B58D7-08A3-479F-97C3-681DE9E9E328}"/>
            </a:ext>
            <a:ext uri="{147F2762-F138-4A5C-976F-8EAC2B608ADB}">
              <a16:predDERef xmlns:a16="http://schemas.microsoft.com/office/drawing/2014/main" pred="{C7489F10-2815-425A-BEFB-F4AC1C025EE3}"/>
            </a:ext>
          </a:extLst>
        </xdr:cNvPr>
        <xdr:cNvCxnSpPr>
          <a:cxnSpLocks/>
        </xdr:cNvCxnSpPr>
      </xdr:nvCxnSpPr>
      <xdr:spPr>
        <a:xfrm>
          <a:off x="0" y="5991225"/>
          <a:ext cx="4962525" cy="9525"/>
        </a:xfrm>
        <a:prstGeom prst="line">
          <a:avLst/>
        </a:prstGeom>
        <a:ln>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48</xdr:row>
      <xdr:rowOff>95250</xdr:rowOff>
    </xdr:from>
    <xdr:to>
      <xdr:col>5</xdr:col>
      <xdr:colOff>57150</xdr:colOff>
      <xdr:row>48</xdr:row>
      <xdr:rowOff>95250</xdr:rowOff>
    </xdr:to>
    <xdr:cxnSp macro="">
      <xdr:nvCxnSpPr>
        <xdr:cNvPr id="7" name="Straight Connector 6">
          <a:extLst>
            <a:ext uri="{FF2B5EF4-FFF2-40B4-BE49-F238E27FC236}">
              <a16:creationId xmlns:a16="http://schemas.microsoft.com/office/drawing/2014/main" id="{8133A952-545C-4B4D-B1A5-DA5DCCF1FC5E}"/>
            </a:ext>
            <a:ext uri="{147F2762-F138-4A5C-976F-8EAC2B608ADB}">
              <a16:predDERef xmlns:a16="http://schemas.microsoft.com/office/drawing/2014/main" pred="{E77B58D7-08A3-479F-97C3-681DE9E9E328}"/>
            </a:ext>
          </a:extLst>
        </xdr:cNvPr>
        <xdr:cNvCxnSpPr>
          <a:cxnSpLocks/>
        </xdr:cNvCxnSpPr>
      </xdr:nvCxnSpPr>
      <xdr:spPr>
        <a:xfrm>
          <a:off x="0" y="9572625"/>
          <a:ext cx="4962525" cy="0"/>
        </a:xfrm>
        <a:prstGeom prst="line">
          <a:avLst/>
        </a:prstGeom>
        <a:ln>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54</xdr:row>
      <xdr:rowOff>85725</xdr:rowOff>
    </xdr:from>
    <xdr:to>
      <xdr:col>5</xdr:col>
      <xdr:colOff>57150</xdr:colOff>
      <xdr:row>54</xdr:row>
      <xdr:rowOff>85725</xdr:rowOff>
    </xdr:to>
    <xdr:cxnSp macro="">
      <xdr:nvCxnSpPr>
        <xdr:cNvPr id="8" name="Straight Connector 7">
          <a:extLst>
            <a:ext uri="{FF2B5EF4-FFF2-40B4-BE49-F238E27FC236}">
              <a16:creationId xmlns:a16="http://schemas.microsoft.com/office/drawing/2014/main" id="{55284B9D-268D-4CED-B608-622B14CE0DDF}"/>
            </a:ext>
            <a:ext uri="{147F2762-F138-4A5C-976F-8EAC2B608ADB}">
              <a16:predDERef xmlns:a16="http://schemas.microsoft.com/office/drawing/2014/main" pred="{8133A952-545C-4B4D-B1A5-DA5DCCF1FC5E}"/>
            </a:ext>
          </a:extLst>
        </xdr:cNvPr>
        <xdr:cNvCxnSpPr>
          <a:cxnSpLocks/>
        </xdr:cNvCxnSpPr>
      </xdr:nvCxnSpPr>
      <xdr:spPr>
        <a:xfrm>
          <a:off x="0" y="10744200"/>
          <a:ext cx="4962525" cy="0"/>
        </a:xfrm>
        <a:prstGeom prst="line">
          <a:avLst/>
        </a:prstGeom>
        <a:ln>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60</xdr:row>
      <xdr:rowOff>76200</xdr:rowOff>
    </xdr:from>
    <xdr:to>
      <xdr:col>5</xdr:col>
      <xdr:colOff>57150</xdr:colOff>
      <xdr:row>60</xdr:row>
      <xdr:rowOff>76200</xdr:rowOff>
    </xdr:to>
    <xdr:cxnSp macro="">
      <xdr:nvCxnSpPr>
        <xdr:cNvPr id="9" name="Straight Connector 8">
          <a:extLst>
            <a:ext uri="{FF2B5EF4-FFF2-40B4-BE49-F238E27FC236}">
              <a16:creationId xmlns:a16="http://schemas.microsoft.com/office/drawing/2014/main" id="{06ACBF6A-795C-47A9-AE10-FB5B1158CA01}"/>
            </a:ext>
            <a:ext uri="{147F2762-F138-4A5C-976F-8EAC2B608ADB}">
              <a16:predDERef xmlns:a16="http://schemas.microsoft.com/office/drawing/2014/main" pred="{55284B9D-268D-4CED-B608-622B14CE0DDF}"/>
            </a:ext>
          </a:extLst>
        </xdr:cNvPr>
        <xdr:cNvCxnSpPr>
          <a:cxnSpLocks/>
        </xdr:cNvCxnSpPr>
      </xdr:nvCxnSpPr>
      <xdr:spPr>
        <a:xfrm>
          <a:off x="0" y="11953875"/>
          <a:ext cx="4962525" cy="0"/>
        </a:xfrm>
        <a:prstGeom prst="line">
          <a:avLst/>
        </a:prstGeom>
        <a:ln>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75</xdr:row>
      <xdr:rowOff>76200</xdr:rowOff>
    </xdr:from>
    <xdr:to>
      <xdr:col>5</xdr:col>
      <xdr:colOff>57150</xdr:colOff>
      <xdr:row>75</xdr:row>
      <xdr:rowOff>76200</xdr:rowOff>
    </xdr:to>
    <xdr:cxnSp macro="">
      <xdr:nvCxnSpPr>
        <xdr:cNvPr id="10" name="Straight Connector 9">
          <a:extLst>
            <a:ext uri="{FF2B5EF4-FFF2-40B4-BE49-F238E27FC236}">
              <a16:creationId xmlns:a16="http://schemas.microsoft.com/office/drawing/2014/main" id="{0269CBF5-08DC-4CFA-B150-267F6F39F7DD}"/>
            </a:ext>
            <a:ext uri="{147F2762-F138-4A5C-976F-8EAC2B608ADB}">
              <a16:predDERef xmlns:a16="http://schemas.microsoft.com/office/drawing/2014/main" pred="{06ACBF6A-795C-47A9-AE10-FB5B1158CA01}"/>
            </a:ext>
          </a:extLst>
        </xdr:cNvPr>
        <xdr:cNvCxnSpPr>
          <a:cxnSpLocks/>
        </xdr:cNvCxnSpPr>
      </xdr:nvCxnSpPr>
      <xdr:spPr>
        <a:xfrm>
          <a:off x="0" y="14963775"/>
          <a:ext cx="4962525" cy="0"/>
        </a:xfrm>
        <a:prstGeom prst="line">
          <a:avLst/>
        </a:prstGeom>
        <a:ln>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81</xdr:row>
      <xdr:rowOff>85725</xdr:rowOff>
    </xdr:from>
    <xdr:to>
      <xdr:col>5</xdr:col>
      <xdr:colOff>57150</xdr:colOff>
      <xdr:row>81</xdr:row>
      <xdr:rowOff>85725</xdr:rowOff>
    </xdr:to>
    <xdr:cxnSp macro="">
      <xdr:nvCxnSpPr>
        <xdr:cNvPr id="11" name="Straight Connector 10">
          <a:extLst>
            <a:ext uri="{FF2B5EF4-FFF2-40B4-BE49-F238E27FC236}">
              <a16:creationId xmlns:a16="http://schemas.microsoft.com/office/drawing/2014/main" id="{2B2509D2-E61F-4CD3-87EB-3DFE9457D416}"/>
            </a:ext>
            <a:ext uri="{147F2762-F138-4A5C-976F-8EAC2B608ADB}">
              <a16:predDERef xmlns:a16="http://schemas.microsoft.com/office/drawing/2014/main" pred="{0269CBF5-08DC-4CFA-B150-267F6F39F7DD}"/>
            </a:ext>
          </a:extLst>
        </xdr:cNvPr>
        <xdr:cNvCxnSpPr>
          <a:cxnSpLocks/>
        </xdr:cNvCxnSpPr>
      </xdr:nvCxnSpPr>
      <xdr:spPr>
        <a:xfrm>
          <a:off x="0" y="16163925"/>
          <a:ext cx="4962525" cy="0"/>
        </a:xfrm>
        <a:prstGeom prst="line">
          <a:avLst/>
        </a:prstGeom>
        <a:ln>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87</xdr:row>
      <xdr:rowOff>85725</xdr:rowOff>
    </xdr:from>
    <xdr:to>
      <xdr:col>5</xdr:col>
      <xdr:colOff>57150</xdr:colOff>
      <xdr:row>87</xdr:row>
      <xdr:rowOff>85725</xdr:rowOff>
    </xdr:to>
    <xdr:cxnSp macro="">
      <xdr:nvCxnSpPr>
        <xdr:cNvPr id="12" name="Straight Connector 11">
          <a:extLst>
            <a:ext uri="{FF2B5EF4-FFF2-40B4-BE49-F238E27FC236}">
              <a16:creationId xmlns:a16="http://schemas.microsoft.com/office/drawing/2014/main" id="{4237A804-0032-43A3-8A3A-44806F9BEC70}"/>
            </a:ext>
            <a:ext uri="{147F2762-F138-4A5C-976F-8EAC2B608ADB}">
              <a16:predDERef xmlns:a16="http://schemas.microsoft.com/office/drawing/2014/main" pred="{2B2509D2-E61F-4CD3-87EB-3DFE9457D416}"/>
            </a:ext>
          </a:extLst>
        </xdr:cNvPr>
        <xdr:cNvCxnSpPr>
          <a:cxnSpLocks/>
        </xdr:cNvCxnSpPr>
      </xdr:nvCxnSpPr>
      <xdr:spPr>
        <a:xfrm>
          <a:off x="0" y="17345025"/>
          <a:ext cx="4962525" cy="0"/>
        </a:xfrm>
        <a:prstGeom prst="line">
          <a:avLst/>
        </a:prstGeom>
        <a:ln>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76200</xdr:rowOff>
    </xdr:from>
    <xdr:to>
      <xdr:col>5</xdr:col>
      <xdr:colOff>57150</xdr:colOff>
      <xdr:row>101</xdr:row>
      <xdr:rowOff>76200</xdr:rowOff>
    </xdr:to>
    <xdr:cxnSp macro="">
      <xdr:nvCxnSpPr>
        <xdr:cNvPr id="13" name="Straight Connector 12">
          <a:extLst>
            <a:ext uri="{FF2B5EF4-FFF2-40B4-BE49-F238E27FC236}">
              <a16:creationId xmlns:a16="http://schemas.microsoft.com/office/drawing/2014/main" id="{2F6EBEB7-32B0-496E-9EFC-E9DD8F3BF1B2}"/>
            </a:ext>
            <a:ext uri="{147F2762-F138-4A5C-976F-8EAC2B608ADB}">
              <a16:predDERef xmlns:a16="http://schemas.microsoft.com/office/drawing/2014/main" pred="{4237A804-0032-43A3-8A3A-44806F9BEC70}"/>
            </a:ext>
          </a:extLst>
        </xdr:cNvPr>
        <xdr:cNvCxnSpPr>
          <a:cxnSpLocks/>
        </xdr:cNvCxnSpPr>
      </xdr:nvCxnSpPr>
      <xdr:spPr>
        <a:xfrm>
          <a:off x="0" y="20145375"/>
          <a:ext cx="4962525" cy="0"/>
        </a:xfrm>
        <a:prstGeom prst="line">
          <a:avLst/>
        </a:prstGeom>
        <a:ln>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108</xdr:row>
      <xdr:rowOff>85725</xdr:rowOff>
    </xdr:from>
    <xdr:to>
      <xdr:col>5</xdr:col>
      <xdr:colOff>57150</xdr:colOff>
      <xdr:row>108</xdr:row>
      <xdr:rowOff>85725</xdr:rowOff>
    </xdr:to>
    <xdr:cxnSp macro="">
      <xdr:nvCxnSpPr>
        <xdr:cNvPr id="14" name="Straight Connector 13">
          <a:extLst>
            <a:ext uri="{FF2B5EF4-FFF2-40B4-BE49-F238E27FC236}">
              <a16:creationId xmlns:a16="http://schemas.microsoft.com/office/drawing/2014/main" id="{33688930-544B-4851-B427-B8567AD08654}"/>
            </a:ext>
            <a:ext uri="{147F2762-F138-4A5C-976F-8EAC2B608ADB}">
              <a16:predDERef xmlns:a16="http://schemas.microsoft.com/office/drawing/2014/main" pred="{2F6EBEB7-32B0-496E-9EFC-E9DD8F3BF1B2}"/>
            </a:ext>
          </a:extLst>
        </xdr:cNvPr>
        <xdr:cNvCxnSpPr>
          <a:cxnSpLocks/>
        </xdr:cNvCxnSpPr>
      </xdr:nvCxnSpPr>
      <xdr:spPr>
        <a:xfrm>
          <a:off x="0" y="21574125"/>
          <a:ext cx="4962525" cy="0"/>
        </a:xfrm>
        <a:prstGeom prst="line">
          <a:avLst/>
        </a:prstGeom>
        <a:ln>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121</xdr:row>
      <xdr:rowOff>85725</xdr:rowOff>
    </xdr:from>
    <xdr:to>
      <xdr:col>5</xdr:col>
      <xdr:colOff>57150</xdr:colOff>
      <xdr:row>121</xdr:row>
      <xdr:rowOff>85725</xdr:rowOff>
    </xdr:to>
    <xdr:cxnSp macro="">
      <xdr:nvCxnSpPr>
        <xdr:cNvPr id="16" name="Straight Connector 15">
          <a:extLst>
            <a:ext uri="{FF2B5EF4-FFF2-40B4-BE49-F238E27FC236}">
              <a16:creationId xmlns:a16="http://schemas.microsoft.com/office/drawing/2014/main" id="{D4CC21A7-B087-49BD-8269-3D186A81B71D}"/>
            </a:ext>
            <a:ext uri="{147F2762-F138-4A5C-976F-8EAC2B608ADB}">
              <a16:predDERef xmlns:a16="http://schemas.microsoft.com/office/drawing/2014/main" pred="{8A532765-8CA9-4ED2-9EF4-41EE33E5AB5A}"/>
            </a:ext>
          </a:extLst>
        </xdr:cNvPr>
        <xdr:cNvCxnSpPr>
          <a:cxnSpLocks/>
        </xdr:cNvCxnSpPr>
      </xdr:nvCxnSpPr>
      <xdr:spPr>
        <a:xfrm>
          <a:off x="0" y="24203025"/>
          <a:ext cx="4962525" cy="0"/>
        </a:xfrm>
        <a:prstGeom prst="line">
          <a:avLst/>
        </a:prstGeom>
        <a:ln>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125</xdr:row>
      <xdr:rowOff>76200</xdr:rowOff>
    </xdr:from>
    <xdr:to>
      <xdr:col>5</xdr:col>
      <xdr:colOff>57150</xdr:colOff>
      <xdr:row>125</xdr:row>
      <xdr:rowOff>76200</xdr:rowOff>
    </xdr:to>
    <xdr:cxnSp macro="">
      <xdr:nvCxnSpPr>
        <xdr:cNvPr id="17" name="Straight Connector 16">
          <a:extLst>
            <a:ext uri="{FF2B5EF4-FFF2-40B4-BE49-F238E27FC236}">
              <a16:creationId xmlns:a16="http://schemas.microsoft.com/office/drawing/2014/main" id="{8248624A-C810-4B8A-956F-C4FCF58EEE32}"/>
            </a:ext>
            <a:ext uri="{147F2762-F138-4A5C-976F-8EAC2B608ADB}">
              <a16:predDERef xmlns:a16="http://schemas.microsoft.com/office/drawing/2014/main" pred="{D4CC21A7-B087-49BD-8269-3D186A81B71D}"/>
            </a:ext>
          </a:extLst>
        </xdr:cNvPr>
        <xdr:cNvCxnSpPr>
          <a:cxnSpLocks/>
        </xdr:cNvCxnSpPr>
      </xdr:nvCxnSpPr>
      <xdr:spPr>
        <a:xfrm>
          <a:off x="0" y="25012650"/>
          <a:ext cx="4962525" cy="0"/>
        </a:xfrm>
        <a:prstGeom prst="line">
          <a:avLst/>
        </a:prstGeom>
        <a:ln>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129</xdr:row>
      <xdr:rowOff>76200</xdr:rowOff>
    </xdr:from>
    <xdr:to>
      <xdr:col>5</xdr:col>
      <xdr:colOff>57150</xdr:colOff>
      <xdr:row>129</xdr:row>
      <xdr:rowOff>76200</xdr:rowOff>
    </xdr:to>
    <xdr:cxnSp macro="">
      <xdr:nvCxnSpPr>
        <xdr:cNvPr id="18" name="Straight Connector 17">
          <a:extLst>
            <a:ext uri="{FF2B5EF4-FFF2-40B4-BE49-F238E27FC236}">
              <a16:creationId xmlns:a16="http://schemas.microsoft.com/office/drawing/2014/main" id="{BF8E1337-53D3-442C-B9B1-AD7680BA0005}"/>
            </a:ext>
            <a:ext uri="{147F2762-F138-4A5C-976F-8EAC2B608ADB}">
              <a16:predDERef xmlns:a16="http://schemas.microsoft.com/office/drawing/2014/main" pred="{8248624A-C810-4B8A-956F-C4FCF58EEE32}"/>
            </a:ext>
          </a:extLst>
        </xdr:cNvPr>
        <xdr:cNvCxnSpPr>
          <a:cxnSpLocks/>
        </xdr:cNvCxnSpPr>
      </xdr:nvCxnSpPr>
      <xdr:spPr>
        <a:xfrm>
          <a:off x="0" y="25822275"/>
          <a:ext cx="4962525" cy="0"/>
        </a:xfrm>
        <a:prstGeom prst="line">
          <a:avLst/>
        </a:prstGeom>
        <a:ln>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133</xdr:row>
      <xdr:rowOff>85725</xdr:rowOff>
    </xdr:from>
    <xdr:to>
      <xdr:col>5</xdr:col>
      <xdr:colOff>57150</xdr:colOff>
      <xdr:row>133</xdr:row>
      <xdr:rowOff>85725</xdr:rowOff>
    </xdr:to>
    <xdr:cxnSp macro="">
      <xdr:nvCxnSpPr>
        <xdr:cNvPr id="19" name="Straight Connector 18">
          <a:extLst>
            <a:ext uri="{FF2B5EF4-FFF2-40B4-BE49-F238E27FC236}">
              <a16:creationId xmlns:a16="http://schemas.microsoft.com/office/drawing/2014/main" id="{D0BAAC2D-C5A3-431B-9165-A2151C60E197}"/>
            </a:ext>
            <a:ext uri="{147F2762-F138-4A5C-976F-8EAC2B608ADB}">
              <a16:predDERef xmlns:a16="http://schemas.microsoft.com/office/drawing/2014/main" pred="{BF8E1337-53D3-442C-B9B1-AD7680BA0005}"/>
            </a:ext>
          </a:extLst>
        </xdr:cNvPr>
        <xdr:cNvCxnSpPr>
          <a:cxnSpLocks/>
        </xdr:cNvCxnSpPr>
      </xdr:nvCxnSpPr>
      <xdr:spPr>
        <a:xfrm>
          <a:off x="0" y="26679525"/>
          <a:ext cx="4962525" cy="0"/>
        </a:xfrm>
        <a:prstGeom prst="line">
          <a:avLst/>
        </a:prstGeom>
        <a:ln>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138</xdr:row>
      <xdr:rowOff>85725</xdr:rowOff>
    </xdr:from>
    <xdr:to>
      <xdr:col>5</xdr:col>
      <xdr:colOff>57150</xdr:colOff>
      <xdr:row>138</xdr:row>
      <xdr:rowOff>85725</xdr:rowOff>
    </xdr:to>
    <xdr:cxnSp macro="">
      <xdr:nvCxnSpPr>
        <xdr:cNvPr id="20" name="Straight Connector 19">
          <a:extLst>
            <a:ext uri="{FF2B5EF4-FFF2-40B4-BE49-F238E27FC236}">
              <a16:creationId xmlns:a16="http://schemas.microsoft.com/office/drawing/2014/main" id="{389C410F-1BCC-4DEB-80E9-764A7BEA0462}"/>
            </a:ext>
            <a:ext uri="{147F2762-F138-4A5C-976F-8EAC2B608ADB}">
              <a16:predDERef xmlns:a16="http://schemas.microsoft.com/office/drawing/2014/main" pred="{D0BAAC2D-C5A3-431B-9165-A2151C60E197}"/>
            </a:ext>
          </a:extLst>
        </xdr:cNvPr>
        <xdr:cNvCxnSpPr>
          <a:cxnSpLocks/>
        </xdr:cNvCxnSpPr>
      </xdr:nvCxnSpPr>
      <xdr:spPr>
        <a:xfrm>
          <a:off x="0" y="27679650"/>
          <a:ext cx="4962525" cy="0"/>
        </a:xfrm>
        <a:prstGeom prst="line">
          <a:avLst/>
        </a:prstGeom>
        <a:ln>
          <a:solidFill>
            <a:schemeClr val="bg2">
              <a:lumMod val="9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80.062579282407" createdVersion="8" refreshedVersion="8" minRefreshableVersion="3" recordCount="298" xr:uid="{E3D33399-0150-49B3-9A4C-000CABD7F883}">
  <cacheSource type="worksheet">
    <worksheetSource name="Table2"/>
  </cacheSource>
  <cacheFields count="20">
    <cacheField name="Platform" numFmtId="0">
      <sharedItems count="4">
        <s v="Google"/>
        <s v="YouTube"/>
        <s v="LinkedIn"/>
        <s v="Meta"/>
      </sharedItems>
    </cacheField>
    <cacheField name="Objective" numFmtId="0">
      <sharedItems count="5">
        <s v="Traffic"/>
        <s v="Leads"/>
        <s v="Sales"/>
        <s v="Awareness"/>
        <s v="Not Specified"/>
      </sharedItems>
    </cacheField>
    <cacheField name="Region" numFmtId="0">
      <sharedItems count="6">
        <s v="East"/>
        <s v="North"/>
        <s v="Central"/>
        <s v="West"/>
        <s v="South"/>
        <s v="Unknown"/>
      </sharedItems>
    </cacheField>
    <cacheField name="Device" numFmtId="0">
      <sharedItems/>
    </cacheField>
    <cacheField name="ad_type" numFmtId="0">
      <sharedItems/>
    </cacheField>
    <cacheField name="impressions" numFmtId="0">
      <sharedItems containsSemiMixedTypes="0" containsString="0" containsNumber="1" containsInteger="1" minValue="0" maxValue="79925"/>
    </cacheField>
    <cacheField name="clicks" numFmtId="0">
      <sharedItems containsSemiMixedTypes="0" containsString="0" containsNumber="1" containsInteger="1" minValue="0" maxValue="3348"/>
    </cacheField>
    <cacheField name="conversions" numFmtId="0">
      <sharedItems containsSemiMixedTypes="0" containsString="0" containsNumber="1" containsInteger="1" minValue="0" maxValue="140"/>
    </cacheField>
    <cacheField name="spend_inr" numFmtId="0">
      <sharedItems containsSemiMixedTypes="0" containsString="0" containsNumber="1" minValue="0" maxValue="8986.5400000000009"/>
    </cacheField>
    <cacheField name="revenue_inr" numFmtId="0">
      <sharedItems containsSemiMixedTypes="0" containsString="0" containsNumber="1" minValue="0" maxValue="189550.73"/>
    </cacheField>
    <cacheField name="likes" numFmtId="0">
      <sharedItems containsSemiMixedTypes="0" containsString="0" containsNumber="1" containsInteger="1" minValue="0" maxValue="780"/>
    </cacheField>
    <cacheField name="comments" numFmtId="0">
      <sharedItems containsSemiMixedTypes="0" containsString="0" containsNumber="1" containsInteger="1" minValue="0" maxValue="84"/>
    </cacheField>
    <cacheField name="shares" numFmtId="0">
      <sharedItems containsSemiMixedTypes="0" containsString="0" containsNumber="1" containsInteger="1" minValue="0" maxValue="40"/>
    </cacheField>
    <cacheField name="CPM" numFmtId="164">
      <sharedItems containsSemiMixedTypes="0" containsString="0" containsNumber="1" minValue="0" maxValue="750.31671961874497"/>
    </cacheField>
    <cacheField name="CTR" numFmtId="10">
      <sharedItems containsSemiMixedTypes="0" containsString="0" containsNumber="1" minValue="0" maxValue="5.0219917284842118E-2"/>
    </cacheField>
    <cacheField name="CPC" numFmtId="165">
      <sharedItems containsSemiMixedTypes="0" containsString="0" containsNumber="1" minValue="0" maxValue="107.96577464788732"/>
    </cacheField>
    <cacheField name="Conversion_Rate" numFmtId="10">
      <sharedItems containsSemiMixedTypes="0" containsString="0" containsNumber="1" minValue="0" maxValue="5.7889822595704951E-2"/>
    </cacheField>
    <cacheField name=" ROI" numFmtId="9">
      <sharedItems containsSemiMixedTypes="0" containsString="0" containsNumber="1" minValue="-1" maxValue="55.527026609525407"/>
    </cacheField>
    <cacheField name="Engagement_Rate" numFmtId="10">
      <sharedItems containsSemiMixedTypes="0" containsString="0" containsNumber="1" minValue="0" maxValue="1.2311939653369399E-2"/>
    </cacheField>
    <cacheField name="Outlier_Flag" numFmtId="0">
      <sharedItems containsBlank="1" count="2">
        <m/>
        <s v="Outli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8">
  <r>
    <x v="0"/>
    <x v="0"/>
    <x v="0"/>
    <s v="Desktop"/>
    <s v="SearchAd"/>
    <n v="14667"/>
    <n v="383"/>
    <n v="8"/>
    <n v="8986.5400000000009"/>
    <n v="6161.86"/>
    <n v="0"/>
    <n v="0"/>
    <n v="0"/>
    <n v="612.7047112565624"/>
    <n v="2.611304288538897E-2"/>
    <n v="23.463550913838123"/>
    <n v="2.0887728459530026E-2"/>
    <n v="-0.31432342147255793"/>
    <n v="0"/>
    <x v="0"/>
  </r>
  <r>
    <x v="1"/>
    <x v="1"/>
    <x v="1"/>
    <s v="Desktop"/>
    <s v="Video"/>
    <n v="0"/>
    <n v="331"/>
    <n v="3"/>
    <n v="8945.34"/>
    <n v="1599.87"/>
    <n v="128"/>
    <n v="14"/>
    <n v="9"/>
    <n v="0"/>
    <n v="0"/>
    <n v="27.025196374622357"/>
    <n v="9.0634441087613302E-3"/>
    <n v="-0.82115045375581031"/>
    <n v="0"/>
    <x v="0"/>
  </r>
  <r>
    <x v="2"/>
    <x v="1"/>
    <x v="2"/>
    <s v="Mobile"/>
    <s v="Carousel"/>
    <n v="12138"/>
    <n v="127"/>
    <n v="1"/>
    <n v="8922.42"/>
    <n v="868.03"/>
    <n v="58"/>
    <n v="5"/>
    <n v="4"/>
    <n v="735.08156203657938"/>
    <n v="1.0463008732904927E-2"/>
    <n v="70.255275590551179"/>
    <n v="7.874015748031496E-3"/>
    <n v="-0.90271361357120605"/>
    <n v="5.5198550008238589E-3"/>
    <x v="0"/>
  </r>
  <r>
    <x v="1"/>
    <x v="2"/>
    <x v="0"/>
    <s v="Mobile"/>
    <s v="Video"/>
    <n v="39771"/>
    <n v="602"/>
    <n v="8"/>
    <n v="8909.17"/>
    <n v="6852.96"/>
    <n v="259"/>
    <n v="16"/>
    <n v="14"/>
    <n v="224.01171708028463"/>
    <n v="1.5136657363405496E-2"/>
    <n v="14.799285714285714"/>
    <n v="1.3289036544850499E-2"/>
    <n v="-0.23079703272021973"/>
    <n v="7.2666012923989845E-3"/>
    <x v="0"/>
  </r>
  <r>
    <x v="1"/>
    <x v="1"/>
    <x v="2"/>
    <s v="Mobile"/>
    <s v="Video"/>
    <n v="70199"/>
    <n v="671"/>
    <n v="15"/>
    <n v="8883.98"/>
    <n v="12530.77"/>
    <n v="205"/>
    <n v="40"/>
    <n v="20"/>
    <n v="126.55422441915127"/>
    <n v="9.5585407199532749E-3"/>
    <n v="13.239910581222055"/>
    <n v="2.2354694485842028E-2"/>
    <n v="0.41049056841640807"/>
    <n v="3.7749825496089687E-3"/>
    <x v="0"/>
  </r>
  <r>
    <x v="1"/>
    <x v="1"/>
    <x v="2"/>
    <s v="Desktop"/>
    <s v="Video"/>
    <n v="0"/>
    <n v="403"/>
    <n v="8"/>
    <n v="8873.67"/>
    <n v="5966.91"/>
    <n v="188"/>
    <n v="8"/>
    <n v="5"/>
    <n v="0"/>
    <n v="0"/>
    <n v="22.019032258064517"/>
    <n v="1.9851116625310174E-2"/>
    <n v="-0.32757134308578079"/>
    <n v="0"/>
    <x v="0"/>
  </r>
  <r>
    <x v="2"/>
    <x v="1"/>
    <x v="2"/>
    <s v="Desktop"/>
    <s v="Other"/>
    <n v="54372"/>
    <n v="302"/>
    <n v="6"/>
    <n v="8864.8799999999992"/>
    <n v="0"/>
    <n v="147"/>
    <n v="11"/>
    <n v="5"/>
    <n v="163.04127124255129"/>
    <n v="5.5543294342676377E-3"/>
    <n v="29.353907284768209"/>
    <n v="1.9867549668874173E-2"/>
    <n v="-1"/>
    <n v="2.9978665489590228E-3"/>
    <x v="0"/>
  </r>
  <r>
    <x v="2"/>
    <x v="1"/>
    <x v="3"/>
    <s v="Desktop"/>
    <s v="Carousel"/>
    <n v="34382"/>
    <n v="164"/>
    <n v="2"/>
    <n v="8817.7999999999993"/>
    <n v="1027.8699999999999"/>
    <n v="57"/>
    <n v="7"/>
    <n v="2"/>
    <n v="256.46559246117152"/>
    <n v="4.769937758129254E-3"/>
    <n v="53.767073170731706"/>
    <n v="1.2195121951219513E-2"/>
    <n v="-0.88343237542244102"/>
    <n v="1.9196090977837241E-3"/>
    <x v="0"/>
  </r>
  <r>
    <x v="0"/>
    <x v="3"/>
    <x v="3"/>
    <s v="Desktop"/>
    <s v="SearchAd"/>
    <n v="70390"/>
    <n v="2104"/>
    <n v="71"/>
    <n v="8791.68"/>
    <n v="90099.86"/>
    <n v="0"/>
    <n v="0"/>
    <n v="0"/>
    <n v="124.89955959653361"/>
    <n v="2.9890609461571245E-2"/>
    <n v="4.1785551330798478"/>
    <n v="3.374524714828897E-2"/>
    <n v="9.2483097655965629"/>
    <n v="0"/>
    <x v="0"/>
  </r>
  <r>
    <x v="2"/>
    <x v="2"/>
    <x v="3"/>
    <s v="Desktop"/>
    <s v="Carousel"/>
    <n v="69691"/>
    <n v="813"/>
    <n v="9"/>
    <n v="8782.92"/>
    <n v="5820.71"/>
    <n v="371"/>
    <n v="21"/>
    <n v="8"/>
    <n v="126.0266031481827"/>
    <n v="1.1665781808267925E-2"/>
    <n v="10.803099630996311"/>
    <n v="1.107011070110701E-2"/>
    <n v="-0.33726938193675909"/>
    <n v="5.7396220458882782E-3"/>
    <x v="0"/>
  </r>
  <r>
    <x v="3"/>
    <x v="1"/>
    <x v="4"/>
    <s v="Desktop"/>
    <s v="Video"/>
    <n v="12903"/>
    <n v="0"/>
    <n v="8"/>
    <n v="8782.74"/>
    <n v="9199.49"/>
    <n v="121"/>
    <n v="14"/>
    <n v="4"/>
    <n v="680.67426179958147"/>
    <n v="0"/>
    <n v="0"/>
    <n v="0"/>
    <n v="4.745102325697903E-2"/>
    <n v="1.0772688522049136E-2"/>
    <x v="0"/>
  </r>
  <r>
    <x v="2"/>
    <x v="2"/>
    <x v="2"/>
    <s v="Desktop"/>
    <s v="Carousel"/>
    <n v="49157"/>
    <n v="407"/>
    <n v="11"/>
    <n v="8768.82"/>
    <n v="12631.07"/>
    <n v="147"/>
    <n v="21"/>
    <n v="13"/>
    <n v="178.38395345525561"/>
    <n v="8.2795939540655453E-3"/>
    <n v="21.545012285012284"/>
    <n v="2.7027027027027029E-2"/>
    <n v="0.44045264927322036"/>
    <n v="3.6820798665500335E-3"/>
    <x v="0"/>
  </r>
  <r>
    <x v="0"/>
    <x v="0"/>
    <x v="3"/>
    <s v="Desktop"/>
    <s v="Display"/>
    <n v="17805"/>
    <n v="274"/>
    <n v="10"/>
    <n v="8729.1"/>
    <n v="7127.27"/>
    <n v="0"/>
    <n v="0"/>
    <n v="0"/>
    <n v="490.26116259477675"/>
    <n v="1.5388935692221287E-2"/>
    <n v="31.858029197080292"/>
    <n v="3.6496350364963501E-2"/>
    <n v="-0.18350459955780091"/>
    <n v="0"/>
    <x v="0"/>
  </r>
  <r>
    <x v="0"/>
    <x v="3"/>
    <x v="3"/>
    <s v="Mobile"/>
    <s v="SearchAd"/>
    <n v="17604"/>
    <n v="132"/>
    <n v="4"/>
    <n v="8725.19"/>
    <n v="3618.28"/>
    <n v="0"/>
    <n v="0"/>
    <n v="0"/>
    <n v="495.63678709384237"/>
    <n v="7.498295841854124E-3"/>
    <n v="66.099924242424251"/>
    <n v="3.0303030303030304E-2"/>
    <n v="-0.58530645177927354"/>
    <n v="0"/>
    <x v="0"/>
  </r>
  <r>
    <x v="3"/>
    <x v="1"/>
    <x v="3"/>
    <s v="Desktop"/>
    <s v="Carousel"/>
    <n v="23469"/>
    <n v="400"/>
    <n v="11"/>
    <n v="8722.7099999999991"/>
    <n v="12036.82"/>
    <n v="174"/>
    <n v="19"/>
    <n v="6"/>
    <n v="371.66943627764283"/>
    <n v="1.7043759853423664E-2"/>
    <n v="21.806774999999998"/>
    <n v="2.75E-2"/>
    <n v="0.37994040842811477"/>
    <n v="8.4792705270782739E-3"/>
    <x v="0"/>
  </r>
  <r>
    <x v="1"/>
    <x v="2"/>
    <x v="2"/>
    <s v="Desktop"/>
    <s v="Video"/>
    <n v="41496"/>
    <n v="361"/>
    <n v="4"/>
    <n v="8697.92"/>
    <n v="4457.9399999999996"/>
    <n v="114"/>
    <n v="7"/>
    <n v="14"/>
    <n v="209.60863697705804"/>
    <n v="8.6996336996337E-3"/>
    <n v="24.093961218836565"/>
    <n v="1.1080332409972299E-2"/>
    <n v="-0.48747056767595015"/>
    <n v="3.2533256217466742E-3"/>
    <x v="0"/>
  </r>
  <r>
    <x v="0"/>
    <x v="2"/>
    <x v="4"/>
    <s v="Mobile"/>
    <s v="SearchAd"/>
    <n v="28651"/>
    <n v="0"/>
    <n v="26"/>
    <n v="8638.5499999999993"/>
    <n v="34593.17"/>
    <n v="0"/>
    <n v="0"/>
    <n v="0"/>
    <n v="301.50954591462778"/>
    <n v="0"/>
    <n v="0"/>
    <n v="0"/>
    <n v="3.0045111737502244"/>
    <n v="0"/>
    <x v="0"/>
  </r>
  <r>
    <x v="0"/>
    <x v="0"/>
    <x v="4"/>
    <s v="Mobile"/>
    <s v="SearchAd"/>
    <n v="65115"/>
    <n v="2493"/>
    <n v="86"/>
    <n v="8634"/>
    <n v="115602.86"/>
    <n v="0"/>
    <n v="0"/>
    <n v="0"/>
    <n v="132.5961759963142"/>
    <n v="3.8286109191430544E-2"/>
    <n v="3.4632972322503011"/>
    <n v="3.4496590453269152E-2"/>
    <n v="12.389258744498495"/>
    <n v="0"/>
    <x v="0"/>
  </r>
  <r>
    <x v="1"/>
    <x v="2"/>
    <x v="2"/>
    <s v="Mobile"/>
    <s v="Other"/>
    <n v="0"/>
    <n v="409"/>
    <n v="8"/>
    <n v="8609.82"/>
    <n v="10608.98"/>
    <n v="143"/>
    <n v="17"/>
    <n v="15"/>
    <n v="0"/>
    <n v="0"/>
    <n v="21.050904645476773"/>
    <n v="1.9559902200488997E-2"/>
    <n v="0.23219533044825558"/>
    <n v="0"/>
    <x v="0"/>
  </r>
  <r>
    <x v="2"/>
    <x v="0"/>
    <x v="4"/>
    <s v="Mobile"/>
    <s v="Video"/>
    <n v="20005"/>
    <n v="176"/>
    <n v="4"/>
    <n v="8592.4599999999991"/>
    <n v="3256.08"/>
    <n v="61"/>
    <n v="6"/>
    <n v="2"/>
    <n v="429.51562109472627"/>
    <n v="8.7978005498625337E-3"/>
    <n v="48.820795454545447"/>
    <n v="2.2727272727272728E-2"/>
    <n v="-0.62105380764065232"/>
    <n v="3.4491377155711073E-3"/>
    <x v="0"/>
  </r>
  <r>
    <x v="3"/>
    <x v="3"/>
    <x v="4"/>
    <s v="Desktop"/>
    <s v="Image"/>
    <n v="49174"/>
    <n v="817"/>
    <n v="21"/>
    <n v="8578.27"/>
    <n v="30369.63"/>
    <n v="343"/>
    <n v="46"/>
    <n v="19"/>
    <n v="174.44726888192949"/>
    <n v="1.6614471061943303E-2"/>
    <n v="10.499718482252142"/>
    <n v="2.5703794369645042E-2"/>
    <n v="2.5402977523440042"/>
    <n v="8.2970675560255416E-3"/>
    <x v="0"/>
  </r>
  <r>
    <x v="0"/>
    <x v="0"/>
    <x v="0"/>
    <s v="Desktop"/>
    <s v="SearchAd"/>
    <n v="27460"/>
    <n v="775"/>
    <n v="28"/>
    <n v="8568.4"/>
    <n v="40088.120000000003"/>
    <n v="0"/>
    <n v="0"/>
    <n v="0"/>
    <n v="312.0320466132556"/>
    <n v="2.8222869628550619E-2"/>
    <n v="11.055999999999999"/>
    <n v="3.612903225806452E-2"/>
    <n v="3.6786004388217175"/>
    <n v="0"/>
    <x v="0"/>
  </r>
  <r>
    <x v="1"/>
    <x v="3"/>
    <x v="1"/>
    <s v="Desktop"/>
    <s v="Video"/>
    <n v="55264"/>
    <n v="0"/>
    <n v="14"/>
    <n v="8549.69"/>
    <n v="10050.719999999999"/>
    <n v="351"/>
    <n v="14"/>
    <n v="12"/>
    <n v="154.70631876085699"/>
    <n v="0"/>
    <n v="0"/>
    <n v="0"/>
    <n v="0.17556542985769061"/>
    <n v="6.8218008106543139E-3"/>
    <x v="0"/>
  </r>
  <r>
    <x v="2"/>
    <x v="2"/>
    <x v="3"/>
    <s v="Mobile"/>
    <s v="Image"/>
    <n v="51119"/>
    <n v="480"/>
    <n v="12"/>
    <n v="8523.48"/>
    <n v="16072.57"/>
    <n v="173"/>
    <n v="19"/>
    <n v="13"/>
    <n v="166.73800348207124"/>
    <n v="9.3898550441127559E-3"/>
    <n v="17.757249999999999"/>
    <n v="2.5000000000000001E-2"/>
    <n v="0.88568166992824537"/>
    <n v="4.0102505917564901E-3"/>
    <x v="0"/>
  </r>
  <r>
    <x v="2"/>
    <x v="2"/>
    <x v="3"/>
    <s v="Mobile"/>
    <s v="Video"/>
    <n v="24502"/>
    <n v="172"/>
    <n v="5"/>
    <n v="8452.08"/>
    <n v="4895.51"/>
    <n v="82"/>
    <n v="8"/>
    <n v="2"/>
    <n v="344.95469757570811"/>
    <n v="7.0198351155007751E-3"/>
    <n v="49.14"/>
    <n v="2.9069767441860465E-2"/>
    <n v="-0.42079227835041788"/>
    <n v="3.7547955268957636E-3"/>
    <x v="0"/>
  </r>
  <r>
    <x v="3"/>
    <x v="0"/>
    <x v="0"/>
    <s v="Mobile"/>
    <s v="Video"/>
    <n v="15323"/>
    <n v="154"/>
    <n v="4"/>
    <n v="8451.35"/>
    <n v="3775.26"/>
    <n v="52"/>
    <n v="3"/>
    <n v="4"/>
    <n v="551.54669451151858"/>
    <n v="1.0050251256281407E-2"/>
    <n v="54.878896103896103"/>
    <n v="2.5974025974025976E-2"/>
    <n v="-0.5532950357043549"/>
    <n v="3.8504209358480716E-3"/>
    <x v="0"/>
  </r>
  <r>
    <x v="2"/>
    <x v="2"/>
    <x v="0"/>
    <s v="Desktop"/>
    <s v="Image"/>
    <n v="48552"/>
    <n v="594"/>
    <n v="11"/>
    <n v="8449.18"/>
    <n v="12741.66"/>
    <n v="278"/>
    <n v="18"/>
    <n v="11"/>
    <n v="174.02331520843634"/>
    <n v="1.2234305486900642E-2"/>
    <n v="14.224208754208755"/>
    <n v="1.8518518518518517E-2"/>
    <n v="0.50803509926407053"/>
    <n v="6.3231174822870329E-3"/>
    <x v="0"/>
  </r>
  <r>
    <x v="0"/>
    <x v="3"/>
    <x v="1"/>
    <s v="Mobile"/>
    <s v="Display"/>
    <n v="22757"/>
    <n v="364"/>
    <n v="9"/>
    <n v="8441.68"/>
    <n v="9536.85"/>
    <n v="0"/>
    <n v="0"/>
    <n v="0"/>
    <n v="370.94871907544933"/>
    <n v="1.5995078437403876E-2"/>
    <n v="23.191428571428574"/>
    <n v="2.4725274725274724E-2"/>
    <n v="0.12973365491229236"/>
    <n v="0"/>
    <x v="0"/>
  </r>
  <r>
    <x v="2"/>
    <x v="3"/>
    <x v="0"/>
    <s v="Mobile"/>
    <s v="Video"/>
    <n v="59641"/>
    <n v="815"/>
    <n v="16"/>
    <n v="8439.76"/>
    <n v="8163.95"/>
    <n v="251"/>
    <n v="33"/>
    <n v="15"/>
    <n v="141.50936436344125"/>
    <n v="1.3665096158682786E-2"/>
    <n v="10.355533742331289"/>
    <n v="1.9631901840490799E-2"/>
    <n v="-3.2679839237134752E-2"/>
    <n v="5.0133297563756474E-3"/>
    <x v="0"/>
  </r>
  <r>
    <x v="2"/>
    <x v="0"/>
    <x v="0"/>
    <s v="Desktop"/>
    <s v="Image"/>
    <n v="35034"/>
    <n v="376"/>
    <n v="5"/>
    <n v="8436.7900000000009"/>
    <n v="4376.05"/>
    <n v="128"/>
    <n v="19"/>
    <n v="5"/>
    <n v="240.81720614260436"/>
    <n v="1.0732431352400526E-2"/>
    <n v="22.438271276595746"/>
    <n v="1.3297872340425532E-2"/>
    <n v="-0.48131339051938005"/>
    <n v="4.3386424616087228E-3"/>
    <x v="0"/>
  </r>
  <r>
    <x v="0"/>
    <x v="3"/>
    <x v="2"/>
    <s v="Desktop"/>
    <s v="SearchAd"/>
    <n v="40193"/>
    <n v="1123"/>
    <n v="43"/>
    <n v="8429.4599999999991"/>
    <n v="0"/>
    <n v="0"/>
    <n v="0"/>
    <n v="0"/>
    <n v="209.72457890677478"/>
    <n v="2.7940188590052994E-2"/>
    <n v="7.5061976847729293"/>
    <n v="3.8290293855743542E-2"/>
    <n v="-1"/>
    <n v="0"/>
    <x v="0"/>
  </r>
  <r>
    <x v="0"/>
    <x v="0"/>
    <x v="1"/>
    <s v="Desktop"/>
    <s v="Display"/>
    <n v="17490"/>
    <n v="676"/>
    <n v="22"/>
    <n v="8351"/>
    <n v="25693.61"/>
    <n v="0"/>
    <n v="0"/>
    <n v="0"/>
    <n v="477.47284162378503"/>
    <n v="3.865065751858205E-2"/>
    <n v="12.353550295857989"/>
    <n v="3.2544378698224852E-2"/>
    <n v="2.0767105735840019"/>
    <n v="0"/>
    <x v="0"/>
  </r>
  <r>
    <x v="2"/>
    <x v="4"/>
    <x v="2"/>
    <s v="Mobile"/>
    <s v="Image"/>
    <n v="58009"/>
    <n v="366"/>
    <n v="6"/>
    <n v="8333.7000000000007"/>
    <n v="4533.9799999999996"/>
    <n v="116"/>
    <n v="13"/>
    <n v="11"/>
    <n v="143.66219034977331"/>
    <n v="6.3093657880673691E-3"/>
    <n v="22.769672131147544"/>
    <n v="1.6393442622950821E-2"/>
    <n v="-0.4559463383611122"/>
    <n v="2.4134186074574633E-3"/>
    <x v="0"/>
  </r>
  <r>
    <x v="2"/>
    <x v="1"/>
    <x v="2"/>
    <s v="Mobile"/>
    <s v="Carousel"/>
    <n v="54851"/>
    <n v="506"/>
    <n v="5"/>
    <n v="8323.66"/>
    <n v="4254.3999999999996"/>
    <n v="243"/>
    <n v="28"/>
    <n v="9"/>
    <n v="151.75037829756977"/>
    <n v="9.2249913401761131E-3"/>
    <n v="16.449920948616601"/>
    <n v="9.881422924901186E-3"/>
    <n v="-0.48887869038379755"/>
    <n v="5.1047382910065454E-3"/>
    <x v="0"/>
  </r>
  <r>
    <x v="2"/>
    <x v="0"/>
    <x v="3"/>
    <s v="Mobile"/>
    <s v="Video"/>
    <n v="47468"/>
    <n v="622"/>
    <n v="16"/>
    <n v="8305.4699999999993"/>
    <n v="12082.68"/>
    <n v="274"/>
    <n v="19"/>
    <n v="15"/>
    <n v="174.96987444172916"/>
    <n v="1.3103564506614982E-2"/>
    <n v="13.352845659163986"/>
    <n v="2.5723472668810289E-2"/>
    <n v="0.45478582187401811"/>
    <n v="6.4885817814106343E-3"/>
    <x v="0"/>
  </r>
  <r>
    <x v="3"/>
    <x v="2"/>
    <x v="2"/>
    <s v="Desktop"/>
    <s v="Video"/>
    <n v="57837"/>
    <n v="948"/>
    <n v="28"/>
    <n v="8274.92"/>
    <n v="36723.040000000001"/>
    <n v="345"/>
    <n v="42"/>
    <n v="14"/>
    <n v="143.07311928350364"/>
    <n v="1.6390891643757455E-2"/>
    <n v="8.7288185654008448"/>
    <n v="2.9535864978902954E-2"/>
    <n v="3.4378725111541866"/>
    <n v="6.9332780054290506E-3"/>
    <x v="0"/>
  </r>
  <r>
    <x v="2"/>
    <x v="0"/>
    <x v="3"/>
    <s v="Mobile"/>
    <s v="Carousel"/>
    <n v="48508"/>
    <n v="233"/>
    <n v="3"/>
    <n v="8251.7000000000007"/>
    <n v="2498.5700000000002"/>
    <n v="90"/>
    <n v="13"/>
    <n v="8"/>
    <n v="170.11008493444382"/>
    <n v="4.803331409252082E-3"/>
    <n v="35.415021459227468"/>
    <n v="1.2875536480686695E-2"/>
    <n v="-0.69720542433680344"/>
    <n v="2.2882823451801765E-3"/>
    <x v="0"/>
  </r>
  <r>
    <x v="1"/>
    <x v="2"/>
    <x v="2"/>
    <s v="Desktop"/>
    <s v="Video"/>
    <n v="25192"/>
    <n v="189"/>
    <n v="2"/>
    <n v="8228.1299999999992"/>
    <n v="1316.47"/>
    <n v="67"/>
    <n v="7"/>
    <n v="3"/>
    <n v="326.6167831057478"/>
    <n v="7.5023817084788821E-3"/>
    <n v="43.535079365079362"/>
    <n v="1.0582010582010581E-2"/>
    <n v="-0.84000374325636562"/>
    <n v="3.0565258812321372E-3"/>
    <x v="0"/>
  </r>
  <r>
    <x v="2"/>
    <x v="2"/>
    <x v="0"/>
    <s v="Desktop"/>
    <s v="Carousel"/>
    <n v="13040"/>
    <n v="92"/>
    <n v="1"/>
    <n v="8195.56"/>
    <n v="661.25"/>
    <n v="39"/>
    <n v="4"/>
    <n v="1"/>
    <n v="628.49386503067478"/>
    <n v="7.0552147239263804E-3"/>
    <n v="89.082173913043476"/>
    <n v="1.0869565217391304E-2"/>
    <n v="-0.91931606870061344"/>
    <n v="3.3742331288343559E-3"/>
    <x v="0"/>
  </r>
  <r>
    <x v="1"/>
    <x v="2"/>
    <x v="4"/>
    <s v="Mobile"/>
    <s v="Video"/>
    <n v="45189"/>
    <n v="533"/>
    <n v="8"/>
    <n v="8194.32"/>
    <n v="6642.25"/>
    <n v="228"/>
    <n v="25"/>
    <n v="6"/>
    <n v="181.33439553873728"/>
    <n v="1.1794905839916794E-2"/>
    <n v="15.373958724202627"/>
    <n v="1.50093808630394E-2"/>
    <n v="-0.18940802897616882"/>
    <n v="5.7314833255880859E-3"/>
    <x v="0"/>
  </r>
  <r>
    <x v="3"/>
    <x v="1"/>
    <x v="4"/>
    <s v="Desktop"/>
    <s v="Image"/>
    <n v="28453"/>
    <n v="458"/>
    <n v="14"/>
    <n v="8193.0300000000007"/>
    <n v="11303.31"/>
    <n v="169"/>
    <n v="13"/>
    <n v="5"/>
    <n v="287.94960109654522"/>
    <n v="1.6096720908164341E-2"/>
    <n v="17.888711790393014"/>
    <n v="3.0567685589519649E-2"/>
    <n v="0.37962512037671026"/>
    <n v="6.5722419428531258E-3"/>
    <x v="0"/>
  </r>
  <r>
    <x v="2"/>
    <x v="1"/>
    <x v="1"/>
    <s v="Desktop"/>
    <s v="Carousel"/>
    <n v="70386"/>
    <n v="97"/>
    <n v="2"/>
    <n v="8192.19"/>
    <n v="1634.68"/>
    <n v="37"/>
    <n v="2"/>
    <n v="1"/>
    <n v="116.38948086267156"/>
    <n v="1.3781149660443838E-3"/>
    <n v="84.455567010309281"/>
    <n v="2.0618556701030927E-2"/>
    <n v="-0.80045872959489461"/>
    <n v="5.6829483135850884E-4"/>
    <x v="0"/>
  </r>
  <r>
    <x v="1"/>
    <x v="1"/>
    <x v="0"/>
    <s v="Desktop"/>
    <s v="Video"/>
    <n v="61510"/>
    <n v="468"/>
    <n v="6"/>
    <n v="8182.14"/>
    <n v="7145.24"/>
    <n v="221"/>
    <n v="12"/>
    <n v="11"/>
    <n v="133.02129735002438"/>
    <n v="7.6085189400097548E-3"/>
    <n v="17.483205128205128"/>
    <n v="1.282051282051282E-2"/>
    <n v="-0.12672723761754265"/>
    <n v="3.9668346610307265E-3"/>
    <x v="0"/>
  </r>
  <r>
    <x v="3"/>
    <x v="0"/>
    <x v="1"/>
    <s v="Desktop"/>
    <s v="Image"/>
    <n v="55702"/>
    <n v="889"/>
    <n v="24"/>
    <n v="8159.41"/>
    <n v="22020.22"/>
    <n v="374"/>
    <n v="36"/>
    <n v="24"/>
    <n v="146.48325015259775"/>
    <n v="1.5959929625507165E-2"/>
    <n v="9.1781889763779532"/>
    <n v="2.6996625421822271E-2"/>
    <n v="1.6987515028660163"/>
    <n v="7.7914617069405048E-3"/>
    <x v="0"/>
  </r>
  <r>
    <x v="1"/>
    <x v="3"/>
    <x v="2"/>
    <s v="Mobile"/>
    <s v="Video"/>
    <n v="55272"/>
    <n v="594"/>
    <n v="13"/>
    <n v="8149.26"/>
    <n v="14887.96"/>
    <n v="184"/>
    <n v="18"/>
    <n v="18"/>
    <n v="147.43920972644378"/>
    <n v="1.0746851932262267E-2"/>
    <n v="13.71929292929293"/>
    <n v="2.1885521885521887E-2"/>
    <n v="0.82690943717589072"/>
    <n v="3.9803155304675058E-3"/>
    <x v="0"/>
  </r>
  <r>
    <x v="1"/>
    <x v="0"/>
    <x v="3"/>
    <s v="Mobile"/>
    <s v="Video"/>
    <n v="57883"/>
    <n v="510"/>
    <n v="9"/>
    <n v="8087.45"/>
    <n v="13469.51"/>
    <n v="249"/>
    <n v="27"/>
    <n v="10"/>
    <n v="139.72064336679162"/>
    <n v="8.8108771141786023E-3"/>
    <n v="15.857745098039215"/>
    <n v="1.7647058823529412E-2"/>
    <n v="0.66548293961631921"/>
    <n v="4.9410016757942743E-3"/>
    <x v="0"/>
  </r>
  <r>
    <x v="2"/>
    <x v="1"/>
    <x v="0"/>
    <s v="Mobile"/>
    <s v="Carousel"/>
    <n v="71168"/>
    <n v="620"/>
    <n v="12"/>
    <n v="8058.87"/>
    <n v="16962.98"/>
    <n v="242"/>
    <n v="15"/>
    <n v="21"/>
    <n v="113.23726955935251"/>
    <n v="8.711780575539568E-3"/>
    <n v="12.998177419354839"/>
    <n v="1.935483870967742E-2"/>
    <n v="1.1048831908195567"/>
    <n v="3.90625E-3"/>
    <x v="0"/>
  </r>
  <r>
    <x v="2"/>
    <x v="1"/>
    <x v="2"/>
    <s v="Mobile"/>
    <s v="Image"/>
    <n v="76693"/>
    <n v="783"/>
    <n v="17"/>
    <n v="7986.69"/>
    <n v="20262.82"/>
    <n v="255"/>
    <n v="20"/>
    <n v="17"/>
    <n v="104.13844809826189"/>
    <n v="1.0209536724342508E-2"/>
    <n v="10.200114942528735"/>
    <n v="2.1711366538952746E-2"/>
    <n v="1.5370735561290099"/>
    <n v="3.8073878972005267E-3"/>
    <x v="0"/>
  </r>
  <r>
    <x v="1"/>
    <x v="1"/>
    <x v="3"/>
    <s v="Mobile"/>
    <s v="Video"/>
    <n v="19179"/>
    <n v="200"/>
    <n v="3"/>
    <n v="7968.52"/>
    <n v="4251.17"/>
    <n v="93"/>
    <n v="4"/>
    <n v="4"/>
    <n v="415.48151624172277"/>
    <n v="1.0428072370822253E-2"/>
    <n v="39.842600000000004"/>
    <n v="1.4999999999999999E-2"/>
    <n v="-0.46650444499103977"/>
    <n v="5.2661765472652384E-3"/>
    <x v="0"/>
  </r>
  <r>
    <x v="2"/>
    <x v="0"/>
    <x v="1"/>
    <s v="Mobile"/>
    <s v="Carousel"/>
    <n v="26830"/>
    <n v="352"/>
    <n v="6"/>
    <n v="7952.58"/>
    <n v="3361.24"/>
    <n v="122"/>
    <n v="15"/>
    <n v="6"/>
    <n v="296.40626164740962"/>
    <n v="1.3119642191576594E-2"/>
    <n v="22.592556818181819"/>
    <n v="1.7045454545454544E-2"/>
    <n v="-0.57733968095888377"/>
    <n v="5.3298546403279913E-3"/>
    <x v="0"/>
  </r>
  <r>
    <x v="3"/>
    <x v="3"/>
    <x v="0"/>
    <s v="Mobile"/>
    <s v="Video"/>
    <n v="44519"/>
    <n v="825"/>
    <n v="19"/>
    <n v="7929.83"/>
    <n v="21827.07"/>
    <n v="361"/>
    <n v="48"/>
    <n v="14"/>
    <n v="178.12237471641322"/>
    <n v="1.8531413553763563E-2"/>
    <n v="9.6119151515151522"/>
    <n v="2.3030303030303029E-2"/>
    <n v="1.7525268511430887"/>
    <n v="9.5015611312024087E-3"/>
    <x v="0"/>
  </r>
  <r>
    <x v="2"/>
    <x v="3"/>
    <x v="3"/>
    <s v="Desktop"/>
    <s v="Carousel"/>
    <n v="56766"/>
    <n v="593"/>
    <n v="21"/>
    <n v="7899.2"/>
    <n v="29739.15"/>
    <n v="236"/>
    <n v="22"/>
    <n v="22"/>
    <n v="139.15371877532326"/>
    <n v="1.0446393968220414E-2"/>
    <n v="13.320741989881956"/>
    <n v="3.5413153456998317E-2"/>
    <n v="2.7648306157585578"/>
    <n v="4.9325300355846811E-3"/>
    <x v="0"/>
  </r>
  <r>
    <x v="3"/>
    <x v="1"/>
    <x v="3"/>
    <s v="Mobile"/>
    <s v="Video"/>
    <n v="47532"/>
    <n v="886"/>
    <n v="24"/>
    <n v="7898.24"/>
    <n v="14108.09"/>
    <n v="327"/>
    <n v="32"/>
    <n v="30"/>
    <n v="166.16679289741649"/>
    <n v="1.8640074055373223E-2"/>
    <n v="8.9144920993227981"/>
    <n v="2.7088036117381489E-2"/>
    <n v="0.78623212259946529"/>
    <n v="8.1839602793907264E-3"/>
    <x v="0"/>
  </r>
  <r>
    <x v="1"/>
    <x v="2"/>
    <x v="2"/>
    <s v="Mobile"/>
    <s v="Video"/>
    <n v="61234"/>
    <n v="526"/>
    <n v="9"/>
    <n v="7894.28"/>
    <n v="6232.18"/>
    <n v="256"/>
    <n v="24"/>
    <n v="5"/>
    <n v="128.91988111180063"/>
    <n v="8.5899990201522038E-3"/>
    <n v="15.008136882129277"/>
    <n v="1.7110266159695818E-2"/>
    <n v="-0.21054485019533123"/>
    <n v="4.6542770356337981E-3"/>
    <x v="0"/>
  </r>
  <r>
    <x v="2"/>
    <x v="0"/>
    <x v="2"/>
    <s v="Mobile"/>
    <s v="Video"/>
    <n v="54393"/>
    <n v="425"/>
    <n v="10"/>
    <n v="7890.49"/>
    <n v="13111.38"/>
    <n v="173"/>
    <n v="18"/>
    <n v="10"/>
    <n v="145.06443843876968"/>
    <n v="7.8135054142996346E-3"/>
    <n v="18.56585882352941"/>
    <n v="2.3529411764705882E-2"/>
    <n v="0.66166866696491589"/>
    <n v="3.6953284429981797E-3"/>
    <x v="0"/>
  </r>
  <r>
    <x v="2"/>
    <x v="1"/>
    <x v="1"/>
    <s v="Mobile"/>
    <s v="Image"/>
    <n v="39270"/>
    <n v="218"/>
    <n v="5"/>
    <n v="7870.04"/>
    <n v="5577.51"/>
    <n v="104"/>
    <n v="8"/>
    <n v="6"/>
    <n v="200.40845429080721"/>
    <n v="5.551311433664375E-3"/>
    <n v="36.101100917431189"/>
    <n v="2.2935779816513763E-2"/>
    <n v="-0.29129839238428262"/>
    <n v="3.0048382989559461E-3"/>
    <x v="0"/>
  </r>
  <r>
    <x v="0"/>
    <x v="3"/>
    <x v="2"/>
    <s v="Desktop"/>
    <s v="SearchAd"/>
    <n v="48834"/>
    <n v="1921"/>
    <n v="0"/>
    <n v="7867.83"/>
    <n v="102486.7"/>
    <n v="0"/>
    <n v="0"/>
    <n v="0"/>
    <n v="161.1137731908097"/>
    <n v="3.9337346930417336E-2"/>
    <n v="4.0956949505465907"/>
    <n v="0"/>
    <n v="12.026044029929471"/>
    <n v="0"/>
    <x v="0"/>
  </r>
  <r>
    <x v="3"/>
    <x v="0"/>
    <x v="4"/>
    <s v="Mobile"/>
    <s v="Image"/>
    <n v="50081"/>
    <n v="702"/>
    <n v="15"/>
    <n v="7824.59"/>
    <n v="14693.23"/>
    <n v="214"/>
    <n v="14"/>
    <n v="14"/>
    <n v="156.23869331682675"/>
    <n v="1.401729198698109E-2"/>
    <n v="11.146139601139602"/>
    <n v="2.1367521367521368E-2"/>
    <n v="0.87782746444222626"/>
    <n v="4.8321718815518859E-3"/>
    <x v="0"/>
  </r>
  <r>
    <x v="1"/>
    <x v="0"/>
    <x v="1"/>
    <s v="Mobile"/>
    <s v="Video"/>
    <n v="55657"/>
    <n v="723"/>
    <n v="8"/>
    <n v="7771.98"/>
    <n v="11548.84"/>
    <n v="236"/>
    <n v="28"/>
    <n v="21"/>
    <n v="139.64065616184845"/>
    <n v="1.2990279749178001E-2"/>
    <n v="10.749626556016597"/>
    <n v="1.1065006915629323E-2"/>
    <n v="0.48595853308938014"/>
    <n v="5.1206496936593779E-3"/>
    <x v="0"/>
  </r>
  <r>
    <x v="3"/>
    <x v="0"/>
    <x v="2"/>
    <s v="Desktop"/>
    <s v="Image"/>
    <n v="71003"/>
    <n v="1020"/>
    <n v="25"/>
    <n v="7744.28"/>
    <n v="16664.330000000002"/>
    <n v="492"/>
    <n v="40"/>
    <n v="21"/>
    <n v="109.06975761587537"/>
    <n v="1.4365590186330155E-2"/>
    <n v="7.5924313725490196"/>
    <n v="2.4509803921568627E-2"/>
    <n v="1.1518243142035158"/>
    <n v="7.7884033069025253E-3"/>
    <x v="0"/>
  </r>
  <r>
    <x v="1"/>
    <x v="3"/>
    <x v="4"/>
    <s v="Desktop"/>
    <s v="Video"/>
    <n v="28973"/>
    <n v="184"/>
    <n v="3"/>
    <n v="7686.34"/>
    <n v="1854.62"/>
    <n v="83"/>
    <n v="4"/>
    <n v="3"/>
    <n v="265.29320401753358"/>
    <n v="6.350740344458634E-3"/>
    <n v="41.77358695652174"/>
    <n v="1.6304347826086956E-2"/>
    <n v="-0.75871220893168922"/>
    <n v="3.1063403858765056E-3"/>
    <x v="0"/>
  </r>
  <r>
    <x v="0"/>
    <x v="2"/>
    <x v="3"/>
    <s v="Desktop"/>
    <s v="Display"/>
    <n v="22595"/>
    <n v="608"/>
    <n v="33"/>
    <n v="7683.3"/>
    <n v="35066.769999999997"/>
    <n v="0"/>
    <n v="0"/>
    <n v="0"/>
    <n v="340.04425757911042"/>
    <n v="2.6908608099136977E-2"/>
    <n v="12.63700657894737"/>
    <n v="5.4276315789473686E-2"/>
    <n v="3.5640245727747186"/>
    <n v="0"/>
    <x v="0"/>
  </r>
  <r>
    <x v="1"/>
    <x v="0"/>
    <x v="0"/>
    <s v="Desktop"/>
    <s v="Video"/>
    <n v="13641"/>
    <n v="71"/>
    <n v="0"/>
    <n v="7665.57"/>
    <n v="0"/>
    <n v="30"/>
    <n v="1"/>
    <n v="1"/>
    <n v="561.95073674950515"/>
    <n v="5.2048970016860931E-3"/>
    <n v="107.96577464788732"/>
    <n v="0"/>
    <n v="-1"/>
    <n v="2.3458690711824644E-3"/>
    <x v="0"/>
  </r>
  <r>
    <x v="2"/>
    <x v="2"/>
    <x v="1"/>
    <s v="Desktop"/>
    <s v="Carousel"/>
    <n v="54994"/>
    <n v="554"/>
    <n v="5"/>
    <n v="7645.86"/>
    <n v="5434.65"/>
    <n v="269"/>
    <n v="27"/>
    <n v="17"/>
    <n v="139.03080336036658"/>
    <n v="1.0073826235589337E-2"/>
    <n v="13.801191335740072"/>
    <n v="9.0252707581227436E-3"/>
    <n v="-0.2892035689902771"/>
    <n v="5.6915299850892826E-3"/>
    <x v="0"/>
  </r>
  <r>
    <x v="1"/>
    <x v="0"/>
    <x v="0"/>
    <s v="Desktop"/>
    <s v="Video"/>
    <n v="39235"/>
    <n v="392"/>
    <n v="7"/>
    <n v="7640.02"/>
    <n v="8400.59"/>
    <n v="123"/>
    <n v="21"/>
    <n v="13"/>
    <n v="194.72460813049574"/>
    <n v="9.991079393398751E-3"/>
    <n v="19.489846938775511"/>
    <n v="1.7857142857142856E-2"/>
    <n v="9.9550786516265616E-2"/>
    <n v="4.0015292468459284E-3"/>
    <x v="0"/>
  </r>
  <r>
    <x v="1"/>
    <x v="1"/>
    <x v="0"/>
    <s v="Mobile"/>
    <s v="Video"/>
    <n v="27429"/>
    <n v="347"/>
    <n v="0"/>
    <n v="7636.56"/>
    <n v="4915.42"/>
    <n v="110"/>
    <n v="11"/>
    <n v="4"/>
    <n v="278.41189981406546"/>
    <n v="1.2650843997229211E-2"/>
    <n v="22.007377521613833"/>
    <n v="0"/>
    <n v="-0.35633059911792747"/>
    <n v="4.5572204600969777E-3"/>
    <x v="0"/>
  </r>
  <r>
    <x v="1"/>
    <x v="3"/>
    <x v="2"/>
    <s v="Desktop"/>
    <s v="Video"/>
    <n v="17419"/>
    <n v="127"/>
    <n v="1"/>
    <n v="7630.68"/>
    <n v="519.73"/>
    <n v="56"/>
    <n v="2"/>
    <n v="2"/>
    <n v="438.06647913198231"/>
    <n v="7.2908892588552732E-3"/>
    <n v="60.084094488188981"/>
    <n v="7.874015748031496E-3"/>
    <n v="-0.93188942531989294"/>
    <n v="3.4445146104828063E-3"/>
    <x v="0"/>
  </r>
  <r>
    <x v="0"/>
    <x v="2"/>
    <x v="0"/>
    <s v="Desktop"/>
    <s v="SearchAd"/>
    <n v="74084"/>
    <n v="2489"/>
    <n v="114"/>
    <n v="7621.81"/>
    <n v="83266.78"/>
    <n v="0"/>
    <n v="0"/>
    <n v="0"/>
    <n v="102.88064899303494"/>
    <n v="3.3596998002267696E-2"/>
    <n v="3.0621976697468867"/>
    <n v="4.5801526717557252E-2"/>
    <n v="9.9248039507675987"/>
    <n v="0"/>
    <x v="0"/>
  </r>
  <r>
    <x v="3"/>
    <x v="3"/>
    <x v="2"/>
    <s v="Desktop"/>
    <s v="Video"/>
    <n v="21317"/>
    <n v="240"/>
    <n v="8"/>
    <n v="7621.52"/>
    <n v="8690.57"/>
    <n v="83"/>
    <n v="14"/>
    <n v="6"/>
    <n v="357.53248580944785"/>
    <n v="1.1258619880846274E-2"/>
    <n v="31.756333333333334"/>
    <n v="3.3333333333333333E-2"/>
    <n v="0.14026729576252495"/>
    <n v="4.8318243655298592E-3"/>
    <x v="0"/>
  </r>
  <r>
    <x v="1"/>
    <x v="3"/>
    <x v="1"/>
    <s v="Desktop"/>
    <s v="Video"/>
    <n v="63429"/>
    <n v="419"/>
    <n v="7"/>
    <n v="7560.63"/>
    <n v="3608.08"/>
    <n v="172"/>
    <n v="11"/>
    <n v="13"/>
    <n v="119.19831622759305"/>
    <n v="6.6058112219962474E-3"/>
    <n v="18.044463007159905"/>
    <n v="1.6706443914081145E-2"/>
    <n v="-0.52278050903165474"/>
    <n v="3.0900692112440682E-3"/>
    <x v="0"/>
  </r>
  <r>
    <x v="2"/>
    <x v="2"/>
    <x v="0"/>
    <s v="Desktop"/>
    <s v="Carousel"/>
    <n v="10072"/>
    <n v="124"/>
    <n v="2"/>
    <n v="7557.19"/>
    <n v="1971.51"/>
    <n v="56"/>
    <n v="4"/>
    <n v="4"/>
    <n v="750.31671961874497"/>
    <n v="1.2311358220810167E-2"/>
    <n v="60.945080645161291"/>
    <n v="1.6129032258064516E-2"/>
    <n v="-0.73912128714508962"/>
    <n v="6.354249404289118E-3"/>
    <x v="0"/>
  </r>
  <r>
    <x v="2"/>
    <x v="2"/>
    <x v="2"/>
    <s v="Mobile"/>
    <s v="Video"/>
    <n v="55003"/>
    <n v="501"/>
    <n v="12"/>
    <n v="7552.89"/>
    <n v="6778.88"/>
    <n v="184"/>
    <n v="10"/>
    <n v="17"/>
    <n v="137.31778266640001"/>
    <n v="9.1085940766867258E-3"/>
    <n v="15.07562874251497"/>
    <n v="2.3952095808383235E-2"/>
    <n v="-0.10247865386626843"/>
    <n v="3.8361543915786411E-3"/>
    <x v="0"/>
  </r>
  <r>
    <x v="1"/>
    <x v="3"/>
    <x v="2"/>
    <s v="Mobile"/>
    <s v="Video"/>
    <n v="78157"/>
    <n v="647"/>
    <n v="12"/>
    <n v="7551.14"/>
    <n v="7568.84"/>
    <n v="261"/>
    <n v="27"/>
    <n v="12"/>
    <n v="96.61501848842714"/>
    <n v="8.2782092454930459E-3"/>
    <n v="11.671004636785163"/>
    <n v="1.8547140649149921E-2"/>
    <n v="2.3440169298940051E-3"/>
    <n v="3.8384277799813197E-3"/>
    <x v="0"/>
  </r>
  <r>
    <x v="2"/>
    <x v="0"/>
    <x v="1"/>
    <s v="Mobile"/>
    <s v="Video"/>
    <n v="41752"/>
    <n v="276"/>
    <n v="5"/>
    <n v="7541.8"/>
    <n v="4626.74"/>
    <n v="122"/>
    <n v="13"/>
    <n v="7"/>
    <n v="180.63326307721786"/>
    <n v="6.6104617742862616E-3"/>
    <n v="27.325362318840579"/>
    <n v="1.8115942028985508E-2"/>
    <n v="-0.38652045930679685"/>
    <n v="3.4010346809733665E-3"/>
    <x v="0"/>
  </r>
  <r>
    <x v="0"/>
    <x v="2"/>
    <x v="2"/>
    <s v="Mobile"/>
    <s v="SearchAd"/>
    <n v="51513"/>
    <n v="1686"/>
    <n v="85"/>
    <n v="7478.37"/>
    <n v="62486"/>
    <n v="0"/>
    <n v="0"/>
    <n v="0"/>
    <n v="145.17442199056549"/>
    <n v="3.2729602236328696E-2"/>
    <n v="4.4355693950177937"/>
    <n v="5.041518386714116E-2"/>
    <n v="7.3555641135702032"/>
    <n v="0"/>
    <x v="0"/>
  </r>
  <r>
    <x v="3"/>
    <x v="3"/>
    <x v="1"/>
    <s v="Mobile"/>
    <s v="Carousel"/>
    <n v="23226"/>
    <n v="479"/>
    <n v="16"/>
    <n v="7472.97"/>
    <n v="17304.02"/>
    <n v="178"/>
    <n v="13"/>
    <n v="14"/>
    <n v="321.75019374838541"/>
    <n v="2.0623439249117369E-2"/>
    <n v="15.601189979123173"/>
    <n v="3.3402922755741124E-2"/>
    <n v="1.3155479013029625"/>
    <n v="8.8263153362610862E-3"/>
    <x v="0"/>
  </r>
  <r>
    <x v="0"/>
    <x v="3"/>
    <x v="1"/>
    <s v="Desktop"/>
    <s v="Display"/>
    <n v="67270"/>
    <n v="1996"/>
    <n v="48"/>
    <n v="7446.4"/>
    <n v="67646.77"/>
    <n v="0"/>
    <n v="0"/>
    <n v="0"/>
    <n v="110.69421733313513"/>
    <n v="2.9671473167831128E-2"/>
    <n v="3.7306613226452905"/>
    <n v="2.4048096192384769E-2"/>
    <n v="8.0844931779114741"/>
    <n v="0"/>
    <x v="0"/>
  </r>
  <r>
    <x v="3"/>
    <x v="1"/>
    <x v="5"/>
    <s v="Desktop"/>
    <s v="Carousel"/>
    <n v="29616"/>
    <n v="404"/>
    <n v="8"/>
    <n v="7416.81"/>
    <n v="6519.41"/>
    <n v="172"/>
    <n v="13"/>
    <n v="4"/>
    <n v="250.43253646677471"/>
    <n v="1.3641274986493788E-2"/>
    <n v="18.358440594059406"/>
    <n v="1.9801980198019802E-2"/>
    <n v="-0.12099541447064176"/>
    <n v="6.381685575364668E-3"/>
    <x v="0"/>
  </r>
  <r>
    <x v="3"/>
    <x v="3"/>
    <x v="0"/>
    <s v="Desktop"/>
    <s v="Carousel"/>
    <n v="37013"/>
    <n v="524"/>
    <n v="12"/>
    <n v="7399.24"/>
    <n v="14985.65"/>
    <n v="209"/>
    <n v="15"/>
    <n v="8"/>
    <n v="199.90922108448385"/>
    <n v="1.4157188015021749E-2"/>
    <n v="14.120687022900762"/>
    <n v="2.2900763358778626E-2"/>
    <n v="1.025295841194501"/>
    <n v="6.2680679761164997E-3"/>
    <x v="0"/>
  </r>
  <r>
    <x v="1"/>
    <x v="2"/>
    <x v="1"/>
    <s v="Mobile"/>
    <s v="Video"/>
    <n v="30071"/>
    <n v="264"/>
    <n v="5"/>
    <n v="7397.5"/>
    <n v="4287.32"/>
    <n v="120"/>
    <n v="6"/>
    <n v="6"/>
    <n v="246.00113065744407"/>
    <n v="8.7792225067340624E-3"/>
    <n v="28.020833333333332"/>
    <n v="1.893939393939394E-2"/>
    <n v="-0.42043663399797232"/>
    <n v="4.3896112533670312E-3"/>
    <x v="0"/>
  </r>
  <r>
    <x v="2"/>
    <x v="3"/>
    <x v="4"/>
    <s v="Mobile"/>
    <s v="Image"/>
    <n v="15297"/>
    <n v="151"/>
    <n v="3"/>
    <n v="7369.58"/>
    <n v="3549.07"/>
    <n v="61"/>
    <n v="7"/>
    <n v="4"/>
    <n v="481.76635941687914"/>
    <n v="9.8712165784140687E-3"/>
    <n v="48.805165562913906"/>
    <n v="1.9867549668874173E-2"/>
    <n v="-0.51841624624469773"/>
    <n v="4.7068052559325361E-3"/>
    <x v="0"/>
  </r>
  <r>
    <x v="2"/>
    <x v="0"/>
    <x v="0"/>
    <s v="Desktop"/>
    <s v="Carousel"/>
    <n v="14509"/>
    <n v="140"/>
    <n v="3"/>
    <n v="7323.71"/>
    <n v="1511.84"/>
    <n v="56"/>
    <n v="7"/>
    <n v="3"/>
    <n v="504.77014267006683"/>
    <n v="9.6491832655593076E-3"/>
    <n v="52.312214285714283"/>
    <n v="2.1428571428571429E-2"/>
    <n v="-0.79356910636822042"/>
    <n v="4.5489006823351023E-3"/>
    <x v="0"/>
  </r>
  <r>
    <x v="0"/>
    <x v="2"/>
    <x v="0"/>
    <s v="Mobile"/>
    <s v="Display"/>
    <n v="18681"/>
    <n v="511"/>
    <n v="14"/>
    <n v="7310.38"/>
    <n v="19611.560000000001"/>
    <n v="0"/>
    <n v="0"/>
    <n v="0"/>
    <n v="391.32701675499169"/>
    <n v="2.7353996038755955E-2"/>
    <n v="14.306027397260275"/>
    <n v="2.7397260273972601E-2"/>
    <n v="1.6827004888938741"/>
    <n v="0"/>
    <x v="0"/>
  </r>
  <r>
    <x v="2"/>
    <x v="3"/>
    <x v="0"/>
    <s v="Mobile"/>
    <s v="Carousel"/>
    <n v="27170"/>
    <n v="298"/>
    <n v="5"/>
    <n v="7297.85"/>
    <n v="5703.02"/>
    <n v="116"/>
    <n v="7"/>
    <n v="7"/>
    <n v="268.59955833640049"/>
    <n v="1.0967979389032021E-2"/>
    <n v="24.489429530201342"/>
    <n v="1.6778523489932886E-2"/>
    <n v="-0.21853422583363591"/>
    <n v="4.7846889952153108E-3"/>
    <x v="0"/>
  </r>
  <r>
    <x v="0"/>
    <x v="2"/>
    <x v="3"/>
    <s v="Desktop"/>
    <s v="SearchAd"/>
    <n v="13293"/>
    <n v="395"/>
    <n v="13"/>
    <n v="7291.38"/>
    <n v="9462.32"/>
    <n v="0"/>
    <n v="0"/>
    <n v="0"/>
    <n v="548.51275107199285"/>
    <n v="2.9714887534792747E-2"/>
    <n v="18.459189873417721"/>
    <n v="3.2911392405063293E-2"/>
    <n v="0.29774061974550764"/>
    <n v="0"/>
    <x v="0"/>
  </r>
  <r>
    <x v="2"/>
    <x v="0"/>
    <x v="1"/>
    <s v="Desktop"/>
    <s v="Image"/>
    <n v="24002"/>
    <n v="247"/>
    <n v="2"/>
    <n v="7283.06"/>
    <n v="1953.37"/>
    <n v="101"/>
    <n v="9"/>
    <n v="7"/>
    <n v="303.43554703774691"/>
    <n v="1.0290809099241729E-2"/>
    <n v="29.486072874493928"/>
    <n v="8.0971659919028341E-3"/>
    <n v="-0.73179268054910984"/>
    <n v="4.8745937838513458E-3"/>
    <x v="0"/>
  </r>
  <r>
    <x v="2"/>
    <x v="1"/>
    <x v="4"/>
    <s v="Mobile"/>
    <s v="Carousel"/>
    <n v="39736"/>
    <n v="196"/>
    <n v="3"/>
    <n v="7190.1"/>
    <n v="3421.38"/>
    <n v="60"/>
    <n v="8"/>
    <n v="7"/>
    <n v="180.94674854036643"/>
    <n v="4.9325548620897924E-3"/>
    <n v="36.684183673469391"/>
    <n v="1.5306122448979591E-2"/>
    <n v="-0.52415404514540831"/>
    <n v="1.8874572176364002E-3"/>
    <x v="0"/>
  </r>
  <r>
    <x v="2"/>
    <x v="1"/>
    <x v="1"/>
    <s v="Mobile"/>
    <s v="Video"/>
    <n v="57215"/>
    <n v="858"/>
    <n v="19"/>
    <n v="7154.68"/>
    <n v="13550.54"/>
    <n v="411"/>
    <n v="50"/>
    <n v="16"/>
    <n v="125.04902560517347"/>
    <n v="1.4996067464825657E-2"/>
    <n v="8.3387878787878797"/>
    <n v="2.2144522144522144E-2"/>
    <n v="0.89394074927180533"/>
    <n v="8.3369745696058734E-3"/>
    <x v="0"/>
  </r>
  <r>
    <x v="0"/>
    <x v="3"/>
    <x v="4"/>
    <s v="Mobile"/>
    <s v="Display"/>
    <n v="0"/>
    <n v="921"/>
    <n v="28"/>
    <n v="7136.37"/>
    <n v="33478.39"/>
    <n v="0"/>
    <n v="0"/>
    <n v="0"/>
    <n v="0"/>
    <n v="0"/>
    <n v="7.7485016286644948"/>
    <n v="3.0401737242128121E-2"/>
    <n v="3.6912351797902856"/>
    <n v="0"/>
    <x v="0"/>
  </r>
  <r>
    <x v="2"/>
    <x v="3"/>
    <x v="3"/>
    <s v="Mobile"/>
    <s v="Video"/>
    <n v="49200"/>
    <n v="672"/>
    <n v="18"/>
    <n v="7117.31"/>
    <n v="11247.65"/>
    <n v="331"/>
    <n v="15"/>
    <n v="12"/>
    <n v="144.6607723577236"/>
    <n v="1.3658536585365854E-2"/>
    <n v="10.591235119047619"/>
    <n v="2.6785714285714284E-2"/>
    <n v="0.58032318389953497"/>
    <n v="7.2764227642276424E-3"/>
    <x v="0"/>
  </r>
  <r>
    <x v="1"/>
    <x v="0"/>
    <x v="2"/>
    <s v="Mobile"/>
    <s v="Video"/>
    <n v="48882"/>
    <n v="377"/>
    <n v="7"/>
    <n v="7054.19"/>
    <n v="4460.12"/>
    <n v="184"/>
    <n v="17"/>
    <n v="15"/>
    <n v="144.31058467329487"/>
    <n v="7.7124503907368769E-3"/>
    <n v="18.711379310344828"/>
    <n v="1.8567639257294429E-2"/>
    <n v="-0.36773463714473242"/>
    <n v="4.4188044679022952E-3"/>
    <x v="0"/>
  </r>
  <r>
    <x v="2"/>
    <x v="1"/>
    <x v="3"/>
    <s v="Mobile"/>
    <s v="Image"/>
    <n v="15840"/>
    <n v="162"/>
    <n v="3"/>
    <n v="7052.29"/>
    <n v="3643.73"/>
    <n v="66"/>
    <n v="4"/>
    <n v="3"/>
    <n v="445.22032828282823"/>
    <n v="1.0227272727272727E-2"/>
    <n v="43.532654320987653"/>
    <n v="1.8518518518518517E-2"/>
    <n v="-0.48332669246443355"/>
    <n v="4.6085858585858588E-3"/>
    <x v="0"/>
  </r>
  <r>
    <x v="2"/>
    <x v="3"/>
    <x v="3"/>
    <s v="Desktop"/>
    <s v="Carousel"/>
    <n v="55296"/>
    <n v="459"/>
    <n v="16"/>
    <n v="7027.66"/>
    <n v="9602.74"/>
    <n v="194"/>
    <n v="24"/>
    <n v="14"/>
    <n v="127.09165219907406"/>
    <n v="8.30078125E-3"/>
    <n v="15.310806100217865"/>
    <n v="3.4858387799564274E-2"/>
    <n v="0.36642068625972229"/>
    <n v="4.1956018518518523E-3"/>
    <x v="0"/>
  </r>
  <r>
    <x v="1"/>
    <x v="2"/>
    <x v="1"/>
    <s v="Desktop"/>
    <s v="Video"/>
    <n v="17327"/>
    <n v="224"/>
    <n v="3"/>
    <n v="7007.93"/>
    <n v="4341.09"/>
    <n v="74"/>
    <n v="9"/>
    <n v="7"/>
    <n v="404.45143417787273"/>
    <n v="1.2927800542505915E-2"/>
    <n v="31.285401785714289"/>
    <n v="1.3392857142857142E-2"/>
    <n v="-0.38054603855917513"/>
    <n v="5.1942055751139837E-3"/>
    <x v="0"/>
  </r>
  <r>
    <x v="3"/>
    <x v="3"/>
    <x v="4"/>
    <s v="Mobile"/>
    <s v="Image"/>
    <n v="17209"/>
    <n v="226"/>
    <n v="7"/>
    <n v="7004.92"/>
    <n v="4711.3500000000004"/>
    <n v="72"/>
    <n v="11"/>
    <n v="6"/>
    <n v="407.04979952350516"/>
    <n v="1.3132663141379512E-2"/>
    <n v="30.995221238938054"/>
    <n v="3.0973451327433628E-2"/>
    <n v="-0.32742272574133602"/>
    <n v="5.1717124760299847E-3"/>
    <x v="0"/>
  </r>
  <r>
    <x v="1"/>
    <x v="1"/>
    <x v="1"/>
    <s v="Desktop"/>
    <s v="Video"/>
    <n v="24845"/>
    <n v="373"/>
    <n v="6"/>
    <n v="6975.68"/>
    <n v="3669.87"/>
    <n v="132"/>
    <n v="18"/>
    <n v="14"/>
    <n v="280.7679613604347"/>
    <n v="1.5013081102837594E-2"/>
    <n v="18.701554959785522"/>
    <n v="1.6085790884718499E-2"/>
    <n v="-0.47390505298408186"/>
    <n v="6.6009257395854299E-3"/>
    <x v="0"/>
  </r>
  <r>
    <x v="2"/>
    <x v="2"/>
    <x v="0"/>
    <s v="Mobile"/>
    <s v="Video"/>
    <n v="0"/>
    <n v="634"/>
    <n v="9"/>
    <n v="6961.95"/>
    <n v="10745.01"/>
    <n v="203"/>
    <n v="0"/>
    <n v="9"/>
    <n v="0"/>
    <n v="0"/>
    <n v="10.980993690851735"/>
    <n v="1.4195583596214511E-2"/>
    <n v="0.54339086031930717"/>
    <n v="0"/>
    <x v="0"/>
  </r>
  <r>
    <x v="0"/>
    <x v="2"/>
    <x v="2"/>
    <s v="Desktop"/>
    <s v="Display"/>
    <n v="32998"/>
    <n v="1323"/>
    <n v="44"/>
    <n v="6930.1"/>
    <n v="45430.27"/>
    <n v="0"/>
    <n v="0"/>
    <n v="0"/>
    <n v="210.01575853082005"/>
    <n v="4.0093338990241832E-2"/>
    <n v="5.2381708238851097"/>
    <n v="3.3257747543461828E-2"/>
    <n v="5.5554999206360653"/>
    <n v="0"/>
    <x v="0"/>
  </r>
  <r>
    <x v="0"/>
    <x v="3"/>
    <x v="4"/>
    <s v="Mobile"/>
    <s v="Display"/>
    <n v="75858"/>
    <n v="2684"/>
    <n v="75"/>
    <n v="6870.28"/>
    <n v="112397.93"/>
    <n v="0"/>
    <n v="0"/>
    <n v="0"/>
    <n v="90.567639537029706"/>
    <n v="3.5381897756334206E-2"/>
    <n v="2.5597168405365127"/>
    <n v="2.7943368107302535E-2"/>
    <n v="15.360021716727703"/>
    <n v="0"/>
    <x v="0"/>
  </r>
  <r>
    <x v="2"/>
    <x v="0"/>
    <x v="3"/>
    <s v="Desktop"/>
    <s v="Carousel"/>
    <n v="58847"/>
    <n v="982"/>
    <n v="21"/>
    <n v="6827.73"/>
    <n v="21252.1"/>
    <n v="350"/>
    <n v="38"/>
    <n v="18"/>
    <n v="116.02511597872447"/>
    <n v="1.6687341750641495E-2"/>
    <n v="6.9528818737270868"/>
    <n v="2.1384928716904276E-2"/>
    <n v="2.112615759556983"/>
    <n v="6.8992472003670535E-3"/>
    <x v="0"/>
  </r>
  <r>
    <x v="1"/>
    <x v="0"/>
    <x v="4"/>
    <s v="Mobile"/>
    <s v="Video"/>
    <n v="34895"/>
    <n v="433"/>
    <n v="9"/>
    <n v="6812.39"/>
    <n v="8144.17"/>
    <n v="197"/>
    <n v="22"/>
    <n v="6"/>
    <n v="195.22539045708555"/>
    <n v="1.2408654535033672E-2"/>
    <n v="15.733002309468823"/>
    <n v="2.0785219399538105E-2"/>
    <n v="0.19549379879895304"/>
    <n v="6.4479151740937093E-3"/>
    <x v="0"/>
  </r>
  <r>
    <x v="1"/>
    <x v="0"/>
    <x v="2"/>
    <s v="Mobile"/>
    <s v="Video"/>
    <n v="51219"/>
    <n v="629"/>
    <n v="11"/>
    <n v="6763.57"/>
    <n v="7237.66"/>
    <n v="249"/>
    <n v="14"/>
    <n v="9"/>
    <n v="132.05197290068139"/>
    <n v="1.2280598996466155E-2"/>
    <n v="10.752893481717011"/>
    <n v="1.7488076311605722E-2"/>
    <n v="7.0094639369445447E-2"/>
    <n v="5.3105292957691484E-3"/>
    <x v="0"/>
  </r>
  <r>
    <x v="2"/>
    <x v="1"/>
    <x v="3"/>
    <s v="Mobile"/>
    <s v="Video"/>
    <n v="62630"/>
    <n v="781"/>
    <n v="0"/>
    <n v="6731.61"/>
    <n v="17536.3"/>
    <n v="254"/>
    <n v="32"/>
    <n v="14"/>
    <n v="107.48219703017722"/>
    <n v="1.2470062270477407E-2"/>
    <n v="8.6192189500640204"/>
    <n v="0"/>
    <n v="1.6050677326820775"/>
    <n v="4.7900367236148808E-3"/>
    <x v="0"/>
  </r>
  <r>
    <x v="2"/>
    <x v="2"/>
    <x v="4"/>
    <s v="Desktop"/>
    <s v="Video"/>
    <n v="0"/>
    <n v="172"/>
    <n v="1"/>
    <n v="6718.94"/>
    <n v="1117.77"/>
    <n v="69"/>
    <n v="7"/>
    <n v="4"/>
    <n v="0"/>
    <n v="0"/>
    <n v="39.063604651162791"/>
    <n v="5.8139534883720929E-3"/>
    <n v="-0.83363893709424408"/>
    <n v="0"/>
    <x v="0"/>
  </r>
  <r>
    <x v="2"/>
    <x v="3"/>
    <x v="1"/>
    <s v="Desktop"/>
    <s v="Image"/>
    <n v="70879"/>
    <n v="852"/>
    <n v="22"/>
    <n v="6662.85"/>
    <n v="16520.12"/>
    <n v="405"/>
    <n v="26"/>
    <n v="26"/>
    <n v="94.003160315467213"/>
    <n v="1.2020485616332059E-2"/>
    <n v="7.8202464788732398"/>
    <n v="2.5821596244131457E-2"/>
    <n v="1.4794374779561297"/>
    <n v="6.4476078951452472E-3"/>
    <x v="0"/>
  </r>
  <r>
    <x v="1"/>
    <x v="0"/>
    <x v="0"/>
    <s v="Desktop"/>
    <s v="Video"/>
    <n v="51577"/>
    <n v="668"/>
    <n v="11"/>
    <n v="6656.28"/>
    <n v="14258.43"/>
    <n v="253"/>
    <n v="31"/>
    <n v="18"/>
    <n v="129.05519902282026"/>
    <n v="1.2951509393722008E-2"/>
    <n v="9.9644910179640718"/>
    <n v="1.6467065868263474E-2"/>
    <n v="1.1421018947520238"/>
    <n v="5.8553231091377942E-3"/>
    <x v="0"/>
  </r>
  <r>
    <x v="3"/>
    <x v="2"/>
    <x v="0"/>
    <s v="Desktop"/>
    <s v="Image"/>
    <n v="46369"/>
    <n v="831"/>
    <n v="25"/>
    <n v="6648.67"/>
    <n v="12931.69"/>
    <n v="331"/>
    <n v="39"/>
    <n v="9"/>
    <n v="143.3860984709612"/>
    <n v="1.7921456145269469E-2"/>
    <n v="8.0008062575210595"/>
    <n v="3.0084235860409144E-2"/>
    <n v="0.94500403840166536"/>
    <n v="8.1735642347257869E-3"/>
    <x v="0"/>
  </r>
  <r>
    <x v="2"/>
    <x v="2"/>
    <x v="3"/>
    <s v="Desktop"/>
    <s v="Video"/>
    <n v="67629"/>
    <n v="941"/>
    <n v="10"/>
    <n v="6639.6"/>
    <n v="10194.11"/>
    <n v="307"/>
    <n v="54"/>
    <n v="15"/>
    <n v="98.176817637404071"/>
    <n v="1.3914149255496902E-2"/>
    <n v="7.0558979808714142"/>
    <n v="1.0626992561105207E-2"/>
    <n v="0.53535002108560759"/>
    <n v="5.5597450797734696E-3"/>
    <x v="0"/>
  </r>
  <r>
    <x v="0"/>
    <x v="1"/>
    <x v="3"/>
    <s v="Desktop"/>
    <s v="SearchAd"/>
    <n v="72491"/>
    <n v="644"/>
    <n v="17"/>
    <n v="6611.81"/>
    <n v="11397.64"/>
    <n v="0"/>
    <n v="0"/>
    <n v="0"/>
    <n v="91.208701769874892"/>
    <n v="8.8838614448690182E-3"/>
    <n v="10.266785714285716"/>
    <n v="2.6397515527950312E-2"/>
    <n v="0.72383053959505772"/>
    <n v="0"/>
    <x v="0"/>
  </r>
  <r>
    <x v="1"/>
    <x v="0"/>
    <x v="2"/>
    <s v="Desktop"/>
    <s v="Video"/>
    <n v="37251"/>
    <n v="440"/>
    <n v="10"/>
    <n v="6596.87"/>
    <n v="7049.07"/>
    <n v="206"/>
    <n v="23"/>
    <n v="9"/>
    <n v="177.09242704893828"/>
    <n v="1.1811763442592145E-2"/>
    <n v="14.992886363636364"/>
    <n v="2.2727272727272728E-2"/>
    <n v="6.8547659723474888E-2"/>
    <n v="6.3890902257657516E-3"/>
    <x v="0"/>
  </r>
  <r>
    <x v="1"/>
    <x v="2"/>
    <x v="4"/>
    <s v="Desktop"/>
    <s v="Video"/>
    <n v="26597"/>
    <n v="338"/>
    <n v="4"/>
    <n v="6563.98"/>
    <n v="4069.98"/>
    <n v="115"/>
    <n v="18"/>
    <n v="9"/>
    <n v="246.79399932323193"/>
    <n v="1.2708200172951836E-2"/>
    <n v="19.420059171597632"/>
    <n v="1.1834319526627219E-2"/>
    <n v="-0.37995240692384796"/>
    <n v="5.3389480016543221E-3"/>
    <x v="0"/>
  </r>
  <r>
    <x v="2"/>
    <x v="0"/>
    <x v="0"/>
    <s v="Desktop"/>
    <s v="Image"/>
    <n v="62388"/>
    <n v="424"/>
    <n v="7"/>
    <n v="6537.47"/>
    <n v="6970.71"/>
    <n v="200"/>
    <n v="19"/>
    <n v="13"/>
    <n v="104.78729883952043"/>
    <n v="6.7961787523241647E-3"/>
    <n v="15.418561320754717"/>
    <n v="1.6509433962264151E-2"/>
    <n v="6.6270284987923422E-2"/>
    <n v="3.7186638456113354E-3"/>
    <x v="0"/>
  </r>
  <r>
    <x v="3"/>
    <x v="2"/>
    <x v="0"/>
    <s v="Desktop"/>
    <s v="Video"/>
    <n v="54983"/>
    <n v="850"/>
    <n v="36"/>
    <n v="6505.56"/>
    <n v="45315.839999999997"/>
    <n v="294"/>
    <n v="43"/>
    <n v="28"/>
    <n v="118.31948056672063"/>
    <n v="1.5459323790989942E-2"/>
    <n v="7.6536000000000008"/>
    <n v="4.2352941176470586E-2"/>
    <n v="5.965709331710106"/>
    <n v="6.6384155102486219E-3"/>
    <x v="0"/>
  </r>
  <r>
    <x v="2"/>
    <x v="3"/>
    <x v="0"/>
    <s v="Desktop"/>
    <s v="Carousel"/>
    <n v="56807"/>
    <n v="277"/>
    <n v="8"/>
    <n v="6488.46"/>
    <n v="10381.73"/>
    <n v="99"/>
    <n v="6"/>
    <n v="10"/>
    <n v="114.21937437287659"/>
    <n v="4.8761596282148323E-3"/>
    <n v="23.424043321299639"/>
    <n v="2.8880866425992781E-2"/>
    <n v="0.60002989923649053"/>
    <n v="2.0243984016054361E-3"/>
    <x v="0"/>
  </r>
  <r>
    <x v="2"/>
    <x v="2"/>
    <x v="4"/>
    <s v="Mobile"/>
    <s v="Video"/>
    <n v="31817"/>
    <n v="208"/>
    <n v="5"/>
    <n v="6477.4"/>
    <n v="5969.65"/>
    <n v="74"/>
    <n v="4"/>
    <n v="5"/>
    <n v="203.58299022535124"/>
    <n v="6.537385674325046E-3"/>
    <n v="31.14134615384615"/>
    <n v="2.403846153846154E-2"/>
    <n v="-7.8387933430079978E-2"/>
    <n v="2.6086683219662446E-3"/>
    <x v="0"/>
  </r>
  <r>
    <x v="2"/>
    <x v="2"/>
    <x v="4"/>
    <s v="Mobile"/>
    <s v="Video"/>
    <n v="37236"/>
    <n v="258"/>
    <n v="6"/>
    <n v="6475.38"/>
    <n v="7341.8"/>
    <n v="87"/>
    <n v="13"/>
    <n v="4"/>
    <n v="173.90106348694812"/>
    <n v="6.9287786013535286E-3"/>
    <n v="25.098372093023258"/>
    <n v="2.3255813953488372E-2"/>
    <n v="0.1338021861265285"/>
    <n v="2.7929960253518099E-3"/>
    <x v="0"/>
  </r>
  <r>
    <x v="3"/>
    <x v="0"/>
    <x v="0"/>
    <s v="Mobile"/>
    <s v="Video"/>
    <n v="78526"/>
    <n v="1106"/>
    <n v="25"/>
    <n v="6466.25"/>
    <n v="20943.87"/>
    <n v="530"/>
    <n v="63"/>
    <n v="23"/>
    <n v="82.345337849884118"/>
    <n v="1.4084507042253521E-2"/>
    <n v="5.8465189873417724"/>
    <n v="2.2603978300180832E-2"/>
    <n v="2.2389514788323988"/>
    <n v="7.8445355678374035E-3"/>
    <x v="0"/>
  </r>
  <r>
    <x v="1"/>
    <x v="2"/>
    <x v="4"/>
    <s v="Mobile"/>
    <s v="Video"/>
    <n v="64884"/>
    <n v="752"/>
    <n v="13"/>
    <n v="6465.44"/>
    <n v="16986.98"/>
    <n v="365"/>
    <n v="33"/>
    <n v="29"/>
    <n v="99.646137722705134"/>
    <n v="1.1589914308612293E-2"/>
    <n v="8.5976595744680839"/>
    <n v="1.7287234042553192E-2"/>
    <n v="1.6273509614194861"/>
    <n v="6.580975278959374E-3"/>
    <x v="0"/>
  </r>
  <r>
    <x v="2"/>
    <x v="1"/>
    <x v="0"/>
    <s v="Mobile"/>
    <s v="Video"/>
    <n v="74240"/>
    <n v="491"/>
    <n v="10"/>
    <n v="6436.1"/>
    <n v="14821.53"/>
    <n v="221"/>
    <n v="28"/>
    <n v="13"/>
    <n v="86.693157327586221"/>
    <n v="6.613685344827586E-3"/>
    <n v="13.108146639511203"/>
    <n v="2.0366598778004074E-2"/>
    <n v="1.3028744115225059"/>
    <n v="3.529094827586207E-3"/>
    <x v="0"/>
  </r>
  <r>
    <x v="2"/>
    <x v="3"/>
    <x v="0"/>
    <s v="Desktop"/>
    <s v="Video"/>
    <n v="52673"/>
    <n v="270"/>
    <n v="7"/>
    <n v="6395.92"/>
    <n v="9214.57"/>
    <n v="103"/>
    <n v="14"/>
    <n v="4"/>
    <n v="121.42691701630817"/>
    <n v="5.1259658648643517E-3"/>
    <n v="23.688592592592592"/>
    <n v="2.5925925925925925E-2"/>
    <n v="0.44069500556604829"/>
    <n v="2.2971921098095798E-3"/>
    <x v="0"/>
  </r>
  <r>
    <x v="3"/>
    <x v="0"/>
    <x v="3"/>
    <s v="Mobile"/>
    <s v="Video"/>
    <n v="56053"/>
    <n v="983"/>
    <n v="28"/>
    <n v="6360.43"/>
    <n v="15925.82"/>
    <n v="331"/>
    <n v="52"/>
    <n v="30"/>
    <n v="113.47171427042264"/>
    <n v="1.7536973935382585E-2"/>
    <n v="6.470427263479146"/>
    <n v="2.8484231943031537E-2"/>
    <n v="1.5038904602361789"/>
    <n v="7.3680266890264572E-3"/>
    <x v="0"/>
  </r>
  <r>
    <x v="0"/>
    <x v="0"/>
    <x v="0"/>
    <s v="Mobile"/>
    <s v="SearchAd"/>
    <n v="53214"/>
    <n v="1217"/>
    <n v="54"/>
    <n v="6354.9"/>
    <n v="73348.86"/>
    <n v="0"/>
    <n v="0"/>
    <n v="0"/>
    <n v="119.42158078701092"/>
    <n v="2.2869921449242679E-2"/>
    <n v="5.2217748562037798"/>
    <n v="4.4371405094494658E-2"/>
    <n v="10.542095076240383"/>
    <n v="0"/>
    <x v="0"/>
  </r>
  <r>
    <x v="3"/>
    <x v="1"/>
    <x v="2"/>
    <s v="Mobile"/>
    <s v="Video"/>
    <n v="74420"/>
    <n v="905"/>
    <n v="28"/>
    <n v="6351.99"/>
    <n v="35711.21"/>
    <n v="438"/>
    <n v="52"/>
    <n v="15"/>
    <n v="85.35326525127654"/>
    <n v="1.2160709486697124E-2"/>
    <n v="7.0187734806629836"/>
    <n v="3.0939226519337018E-2"/>
    <n v="4.6220507274098352"/>
    <n v="6.7858102660575117E-3"/>
    <x v="0"/>
  </r>
  <r>
    <x v="0"/>
    <x v="1"/>
    <x v="1"/>
    <s v="Desktop"/>
    <s v="Display"/>
    <n v="37999"/>
    <n v="361"/>
    <n v="14"/>
    <n v="6341.86"/>
    <n v="8578.93"/>
    <n v="0"/>
    <n v="0"/>
    <n v="0"/>
    <n v="166.8954446169636"/>
    <n v="9.5002500065791209E-3"/>
    <n v="17.567479224376729"/>
    <n v="3.8781163434903045E-2"/>
    <n v="0.3527466705351428"/>
    <n v="0"/>
    <x v="0"/>
  </r>
  <r>
    <x v="2"/>
    <x v="0"/>
    <x v="0"/>
    <s v="Mobile"/>
    <s v="Carousel"/>
    <n v="27244"/>
    <n v="329"/>
    <n v="0"/>
    <n v="6295.81"/>
    <n v="0"/>
    <n v="162"/>
    <n v="11"/>
    <n v="8"/>
    <n v="231.08978123623552"/>
    <n v="1.2076053442959919E-2"/>
    <n v="19.136200607902737"/>
    <n v="0"/>
    <n v="-1"/>
    <n v="6.6436646601086479E-3"/>
    <x v="0"/>
  </r>
  <r>
    <x v="2"/>
    <x v="3"/>
    <x v="4"/>
    <s v="Desktop"/>
    <s v="Image"/>
    <n v="23841"/>
    <n v="0"/>
    <n v="7"/>
    <n v="6222.14"/>
    <n v="3648.16"/>
    <n v="112"/>
    <n v="6"/>
    <n v="5"/>
    <n v="260.98485801770062"/>
    <n v="0"/>
    <n v="0"/>
    <n v="0"/>
    <n v="-0.4136808236394553"/>
    <n v="5.1591795646155781E-3"/>
    <x v="0"/>
  </r>
  <r>
    <x v="0"/>
    <x v="1"/>
    <x v="0"/>
    <s v="Desktop"/>
    <s v="SearchAd"/>
    <n v="70404"/>
    <n v="820"/>
    <n v="27"/>
    <n v="6201.59"/>
    <n v="36349.4"/>
    <n v="0"/>
    <n v="0"/>
    <n v="0"/>
    <n v="88.085762172603836"/>
    <n v="1.1647065507641611E-2"/>
    <n v="7.5629146341463418"/>
    <n v="3.2926829268292684E-2"/>
    <n v="4.8613033109251012"/>
    <n v="0"/>
    <x v="0"/>
  </r>
  <r>
    <x v="0"/>
    <x v="2"/>
    <x v="4"/>
    <s v="Desktop"/>
    <s v="SearchAd"/>
    <n v="52477"/>
    <n v="907"/>
    <n v="36"/>
    <n v="6131.01"/>
    <n v="20924.439999999999"/>
    <n v="0"/>
    <n v="0"/>
    <n v="0"/>
    <n v="116.83232654305696"/>
    <n v="1.7283762410198755E-2"/>
    <n v="6.7596582138919521"/>
    <n v="3.9691289966923927E-2"/>
    <n v="2.4128862944278344"/>
    <n v="0"/>
    <x v="0"/>
  </r>
  <r>
    <x v="3"/>
    <x v="0"/>
    <x v="3"/>
    <s v="Desktop"/>
    <s v="Video"/>
    <n v="0"/>
    <n v="0"/>
    <n v="0"/>
    <n v="6102.15"/>
    <n v="19137.43"/>
    <n v="298"/>
    <n v="33"/>
    <n v="25"/>
    <n v="0"/>
    <n v="0"/>
    <n v="0"/>
    <n v="0"/>
    <n v="2.1361782322623997"/>
    <n v="0"/>
    <x v="0"/>
  </r>
  <r>
    <x v="3"/>
    <x v="0"/>
    <x v="4"/>
    <s v="Desktop"/>
    <s v="Video"/>
    <n v="78404"/>
    <n v="1076"/>
    <n v="30"/>
    <n v="6085.71"/>
    <n v="35523.129999999997"/>
    <n v="434"/>
    <n v="29"/>
    <n v="14"/>
    <n v="77.61989184225294"/>
    <n v="1.3723789602571297E-2"/>
    <n v="5.6558643122676582"/>
    <n v="2.7881040892193308E-2"/>
    <n v="4.8371381482193527"/>
    <n v="6.0838732717718481E-3"/>
    <x v="0"/>
  </r>
  <r>
    <x v="1"/>
    <x v="1"/>
    <x v="1"/>
    <s v="Mobile"/>
    <s v="Video"/>
    <n v="39800"/>
    <n v="492"/>
    <n v="5"/>
    <n v="6067.19"/>
    <n v="7071.6"/>
    <n v="177"/>
    <n v="19"/>
    <n v="6"/>
    <n v="152.44195979899496"/>
    <n v="1.2361809045226132E-2"/>
    <n v="12.331686991869917"/>
    <n v="1.016260162601626E-2"/>
    <n v="0.1655478071397139"/>
    <n v="5.0753768844221106E-3"/>
    <x v="0"/>
  </r>
  <r>
    <x v="2"/>
    <x v="3"/>
    <x v="4"/>
    <s v="Mobile"/>
    <s v="Carousel"/>
    <n v="74410"/>
    <n v="722"/>
    <n v="18"/>
    <n v="6028.89"/>
    <n v="17674.2"/>
    <n v="318"/>
    <n v="32"/>
    <n v="7"/>
    <n v="81.022577610536217"/>
    <n v="9.7029969090176044E-3"/>
    <n v="8.3502631578947373"/>
    <n v="2.4930747922437674E-2"/>
    <n v="1.9315844210128235"/>
    <n v="4.7977422389463781E-3"/>
    <x v="0"/>
  </r>
  <r>
    <x v="2"/>
    <x v="2"/>
    <x v="4"/>
    <s v="Desktop"/>
    <s v="Video"/>
    <n v="76583"/>
    <n v="394"/>
    <n v="9"/>
    <n v="6022.43"/>
    <n v="8958.19"/>
    <n v="152"/>
    <n v="13"/>
    <n v="11"/>
    <n v="78.639254142564283"/>
    <n v="5.1447449172792922E-3"/>
    <n v="15.285355329949239"/>
    <n v="2.2842639593908629E-2"/>
    <n v="0.48747100422918987"/>
    <n v="2.2981601660943029E-3"/>
    <x v="0"/>
  </r>
  <r>
    <x v="2"/>
    <x v="3"/>
    <x v="3"/>
    <s v="Desktop"/>
    <s v="Image"/>
    <n v="12248"/>
    <n v="59"/>
    <n v="0"/>
    <n v="6021.55"/>
    <n v="0"/>
    <n v="25"/>
    <n v="3"/>
    <n v="1"/>
    <n v="491.63536903984323"/>
    <n v="4.8171129980404967E-3"/>
    <n v="102.06016949152543"/>
    <n v="0"/>
    <n v="-1"/>
    <n v="2.3677335075114304E-3"/>
    <x v="0"/>
  </r>
  <r>
    <x v="0"/>
    <x v="3"/>
    <x v="3"/>
    <s v="Desktop"/>
    <s v="SearchAd"/>
    <n v="37471"/>
    <n v="1357"/>
    <n v="29"/>
    <n v="6016.43"/>
    <n v="37803.480000000003"/>
    <n v="0"/>
    <n v="0"/>
    <n v="0"/>
    <n v="160.56230151317018"/>
    <n v="3.6214672680206027E-2"/>
    <n v="4.4336256448047164"/>
    <n v="2.1370670596904937E-2"/>
    <n v="5.28337402745482"/>
    <n v="0"/>
    <x v="0"/>
  </r>
  <r>
    <x v="1"/>
    <x v="2"/>
    <x v="3"/>
    <s v="Desktop"/>
    <s v="Other"/>
    <n v="72522"/>
    <n v="660"/>
    <n v="8"/>
    <n v="5913.61"/>
    <n v="7429.98"/>
    <n v="265"/>
    <n v="36"/>
    <n v="12"/>
    <n v="81.542290615261564"/>
    <n v="9.1006866881773799E-3"/>
    <n v="8.9600151515151509"/>
    <n v="1.2121212121212121E-2"/>
    <n v="0.25642035913765027"/>
    <n v="4.3159317172719999E-3"/>
    <x v="0"/>
  </r>
  <r>
    <x v="2"/>
    <x v="0"/>
    <x v="4"/>
    <s v="Desktop"/>
    <s v="Video"/>
    <n v="40312"/>
    <n v="296"/>
    <n v="11"/>
    <n v="5913.53"/>
    <n v="16443.13"/>
    <n v="144"/>
    <n v="6"/>
    <n v="6"/>
    <n v="146.69403651518155"/>
    <n v="7.3427267314943442E-3"/>
    <n v="19.978141891891891"/>
    <n v="3.7162162162162164E-2"/>
    <n v="1.7805946701885342"/>
    <n v="3.8698154395713437E-3"/>
    <x v="0"/>
  </r>
  <r>
    <x v="2"/>
    <x v="3"/>
    <x v="1"/>
    <s v="Desktop"/>
    <s v="Carousel"/>
    <n v="31428"/>
    <n v="315"/>
    <n v="5"/>
    <n v="5910.23"/>
    <n v="2912.18"/>
    <n v="142"/>
    <n v="10"/>
    <n v="5"/>
    <n v="188.05619193076237"/>
    <n v="1.0022909507445591E-2"/>
    <n v="18.76263492063492"/>
    <n v="1.5873015873015872E-2"/>
    <n v="-0.50726452270047018"/>
    <n v="4.9955453735522461E-3"/>
    <x v="0"/>
  </r>
  <r>
    <x v="0"/>
    <x v="2"/>
    <x v="2"/>
    <s v="Mobile"/>
    <s v="SearchAd"/>
    <n v="0"/>
    <n v="531"/>
    <n v="21"/>
    <n v="5876.24"/>
    <n v="29237.66"/>
    <n v="0"/>
    <n v="0"/>
    <n v="0"/>
    <n v="0"/>
    <n v="0"/>
    <n v="11.066365348399247"/>
    <n v="3.954802259887006E-2"/>
    <n v="3.9755728152696279"/>
    <n v="0"/>
    <x v="0"/>
  </r>
  <r>
    <x v="2"/>
    <x v="0"/>
    <x v="0"/>
    <s v="Mobile"/>
    <s v="Image"/>
    <n v="27064"/>
    <n v="256"/>
    <n v="4"/>
    <n v="5868.19"/>
    <n v="3123.69"/>
    <n v="114"/>
    <n v="8"/>
    <n v="8"/>
    <n v="216.82641146911024"/>
    <n v="9.4590600059119134E-3"/>
    <n v="22.922617187499998"/>
    <n v="1.5625E-2"/>
    <n v="-0.46769105976459519"/>
    <n v="4.8034289092521434E-3"/>
    <x v="0"/>
  </r>
  <r>
    <x v="0"/>
    <x v="2"/>
    <x v="0"/>
    <s v="Desktop"/>
    <s v="SearchAd"/>
    <n v="77119"/>
    <n v="2142"/>
    <n v="124"/>
    <n v="5807.3"/>
    <n v="131322.57"/>
    <n v="0"/>
    <n v="0"/>
    <n v="0"/>
    <n v="75.303102996667491"/>
    <n v="2.7775256421893438E-2"/>
    <n v="2.7111577964519142"/>
    <n v="5.7889822595704951E-2"/>
    <n v="21.613360770065263"/>
    <n v="0"/>
    <x v="0"/>
  </r>
  <r>
    <x v="0"/>
    <x v="0"/>
    <x v="2"/>
    <s v="Desktop"/>
    <s v="SearchAd"/>
    <n v="16916"/>
    <n v="561"/>
    <n v="22"/>
    <n v="5776.77"/>
    <n v="13309.06"/>
    <n v="0"/>
    <n v="0"/>
    <n v="0"/>
    <n v="341.49739891227244"/>
    <n v="3.3163868526838496E-2"/>
    <n v="10.297272727272729"/>
    <n v="3.9215686274509803E-2"/>
    <n v="1.3038930059531535"/>
    <n v="0"/>
    <x v="0"/>
  </r>
  <r>
    <x v="1"/>
    <x v="0"/>
    <x v="0"/>
    <s v="Mobile"/>
    <s v="Video"/>
    <n v="26686"/>
    <n v="373"/>
    <n v="6"/>
    <n v="5761.48"/>
    <n v="8462.41"/>
    <n v="154"/>
    <n v="11"/>
    <n v="11"/>
    <n v="215.89897324439781"/>
    <n v="1.3977366409353219E-2"/>
    <n v="15.446327077747988"/>
    <n v="1.6085790884718499E-2"/>
    <n v="0.46879100508897026"/>
    <n v="6.5952184666117067E-3"/>
    <x v="0"/>
  </r>
  <r>
    <x v="3"/>
    <x v="3"/>
    <x v="1"/>
    <s v="Desktop"/>
    <s v="Video"/>
    <n v="79924"/>
    <n v="953"/>
    <n v="24"/>
    <n v="5741.91"/>
    <n v="20572.36"/>
    <n v="0"/>
    <n v="30"/>
    <n v="18"/>
    <n v="71.842125018767831"/>
    <n v="1.1923827636254441E-2"/>
    <n v="6.0250891920251837"/>
    <n v="2.5183630640083946E-2"/>
    <n v="2.5828426429533033"/>
    <n v="6.0057054201491421E-4"/>
    <x v="0"/>
  </r>
  <r>
    <x v="2"/>
    <x v="1"/>
    <x v="0"/>
    <s v="Mobile"/>
    <s v="Image"/>
    <n v="59374"/>
    <n v="572"/>
    <n v="6"/>
    <n v="5662.4"/>
    <n v="5013.08"/>
    <n v="206"/>
    <n v="13"/>
    <n v="12"/>
    <n v="95.368343045777607"/>
    <n v="9.6338464647825646E-3"/>
    <n v="9.8993006993006993"/>
    <n v="1.048951048951049E-2"/>
    <n v="-0.1146722237920316"/>
    <n v="3.890591841546805E-3"/>
    <x v="0"/>
  </r>
  <r>
    <x v="3"/>
    <x v="2"/>
    <x v="3"/>
    <s v="Mobile"/>
    <s v="Carousel"/>
    <n v="60334"/>
    <n v="778"/>
    <n v="13"/>
    <n v="5656.98"/>
    <n v="11861.14"/>
    <n v="300"/>
    <n v="19"/>
    <n v="13"/>
    <n v="93.761063413663933"/>
    <n v="1.2894885139390725E-2"/>
    <n v="7.2711825192802051"/>
    <n v="1.6709511568123392E-2"/>
    <n v="1.0967265219251261"/>
    <n v="5.502701627606325E-3"/>
    <x v="0"/>
  </r>
  <r>
    <x v="1"/>
    <x v="3"/>
    <x v="4"/>
    <s v="Mobile"/>
    <s v="Video"/>
    <n v="35818"/>
    <n v="283"/>
    <n v="6"/>
    <n v="5594.28"/>
    <n v="6048.82"/>
    <n v="134"/>
    <n v="11"/>
    <n v="10"/>
    <n v="156.18627505723379"/>
    <n v="7.9010553353062712E-3"/>
    <n v="19.767773851590103"/>
    <n v="2.1201413427561839E-2"/>
    <n v="8.1250849081561882E-2"/>
    <n v="4.3274331341783458E-3"/>
    <x v="0"/>
  </r>
  <r>
    <x v="1"/>
    <x v="1"/>
    <x v="4"/>
    <s v="Desktop"/>
    <s v="Video"/>
    <n v="62516"/>
    <n v="853"/>
    <n v="15"/>
    <n v="5591.86"/>
    <n v="10122.209999999999"/>
    <n v="258"/>
    <n v="46"/>
    <n v="27"/>
    <n v="89.446861603429511"/>
    <n v="1.3644507006206411E-2"/>
    <n v="6.5555216881594367"/>
    <n v="1.7584994138335287E-2"/>
    <n v="0.81016870951704789"/>
    <n v="5.2946445709898269E-3"/>
    <x v="0"/>
  </r>
  <r>
    <x v="0"/>
    <x v="2"/>
    <x v="1"/>
    <s v="Mobile"/>
    <s v="Display"/>
    <n v="39026"/>
    <n v="884"/>
    <n v="41"/>
    <n v="5578.51"/>
    <n v="25143.38"/>
    <n v="0"/>
    <n v="0"/>
    <n v="0"/>
    <n v="142.94342233382872"/>
    <n v="2.2651565622918056E-2"/>
    <n v="6.3105316742081454"/>
    <n v="4.6380090497737558E-2"/>
    <n v="3.5071856104945591"/>
    <n v="0"/>
    <x v="0"/>
  </r>
  <r>
    <x v="2"/>
    <x v="1"/>
    <x v="2"/>
    <s v="Desktop"/>
    <s v="Video"/>
    <n v="34346"/>
    <n v="217"/>
    <n v="5"/>
    <n v="5574.42"/>
    <n v="2508.8000000000002"/>
    <n v="107"/>
    <n v="11"/>
    <n v="3"/>
    <n v="162.30186921329994"/>
    <n v="6.3180574157107091E-3"/>
    <n v="25.688571428571429"/>
    <n v="2.3041474654377881E-2"/>
    <n v="-0.54994420944241729"/>
    <n v="3.5229721073778606E-3"/>
    <x v="0"/>
  </r>
  <r>
    <x v="2"/>
    <x v="2"/>
    <x v="3"/>
    <s v="Desktop"/>
    <s v="Carousel"/>
    <n v="65484"/>
    <n v="641"/>
    <n v="19"/>
    <n v="5548.85"/>
    <n v="20697.61"/>
    <n v="217"/>
    <n v="24"/>
    <n v="12"/>
    <n v="84.735966037505349"/>
    <n v="9.7886506627573155E-3"/>
    <n v="8.656552262090484"/>
    <n v="2.9641185647425898E-2"/>
    <n v="2.7300719969002585"/>
    <n v="3.8635391851444627E-3"/>
    <x v="0"/>
  </r>
  <r>
    <x v="3"/>
    <x v="1"/>
    <x v="2"/>
    <s v="Mobile"/>
    <s v="Image"/>
    <n v="34323"/>
    <n v="455"/>
    <n v="14"/>
    <n v="5535.41"/>
    <n v="14496.56"/>
    <n v="167"/>
    <n v="11"/>
    <n v="13"/>
    <n v="161.27407277918596"/>
    <n v="1.3256416979867727E-2"/>
    <n v="12.165736263736264"/>
    <n v="3.0769230769230771E-2"/>
    <n v="1.6188773731304456"/>
    <n v="5.564781633307112E-3"/>
    <x v="0"/>
  </r>
  <r>
    <x v="2"/>
    <x v="2"/>
    <x v="3"/>
    <s v="Mobile"/>
    <s v="Carousel"/>
    <n v="25696"/>
    <n v="189"/>
    <n v="4"/>
    <n v="5527.11"/>
    <n v="4191.0600000000004"/>
    <n v="92"/>
    <n v="4"/>
    <n v="2"/>
    <n v="215.09612391033622"/>
    <n v="7.3552303860523038E-3"/>
    <n v="29.243968253968252"/>
    <n v="2.1164021164021163E-2"/>
    <n v="-0.24172668899298175"/>
    <n v="3.8138231631382317E-3"/>
    <x v="0"/>
  </r>
  <r>
    <x v="0"/>
    <x v="3"/>
    <x v="1"/>
    <s v="Desktop"/>
    <s v="SearchAd"/>
    <n v="66882"/>
    <n v="2369"/>
    <n v="48"/>
    <n v="5512.22"/>
    <n v="41680.410000000003"/>
    <n v="0"/>
    <n v="0"/>
    <n v="0"/>
    <n v="82.41709279028737"/>
    <n v="3.5420591489488951E-2"/>
    <n v="2.3268130012663573"/>
    <n v="2.0261713803292527E-2"/>
    <n v="6.5614561828083788"/>
    <n v="0"/>
    <x v="0"/>
  </r>
  <r>
    <x v="3"/>
    <x v="2"/>
    <x v="3"/>
    <s v="Desktop"/>
    <s v="Carousel"/>
    <n v="33926"/>
    <n v="291"/>
    <n v="9"/>
    <n v="5472.83"/>
    <n v="5771.37"/>
    <n v="135"/>
    <n v="7"/>
    <n v="3"/>
    <n v="161.3166892648706"/>
    <n v="8.5774921888816837E-3"/>
    <n v="18.806975945017182"/>
    <n v="3.0927835051546393E-2"/>
    <n v="5.4549474403553545E-2"/>
    <n v="4.2740081353534161E-3"/>
    <x v="0"/>
  </r>
  <r>
    <x v="2"/>
    <x v="3"/>
    <x v="1"/>
    <s v="Mobile"/>
    <s v="Image"/>
    <n v="23078"/>
    <n v="134"/>
    <n v="3"/>
    <n v="5430.09"/>
    <n v="3269.7"/>
    <n v="50"/>
    <n v="6"/>
    <n v="5"/>
    <n v="235.29291966374905"/>
    <n v="5.8063957015339288E-3"/>
    <n v="40.523059701492535"/>
    <n v="2.2388059701492536E-2"/>
    <n v="-0.39785528416656085"/>
    <n v="2.6432099835341019E-3"/>
    <x v="0"/>
  </r>
  <r>
    <x v="1"/>
    <x v="2"/>
    <x v="1"/>
    <s v="Mobile"/>
    <s v="Video"/>
    <n v="75500"/>
    <n v="920"/>
    <n v="11"/>
    <n v="5410.92"/>
    <n v="13210.26"/>
    <n v="449"/>
    <n v="24"/>
    <n v="12"/>
    <n v="71.667814569536432"/>
    <n v="1.2185430463576159E-2"/>
    <n v="5.8814347826086957"/>
    <n v="1.1956521739130435E-2"/>
    <n v="1.4414073761948061"/>
    <n v="6.4238410596026488E-3"/>
    <x v="0"/>
  </r>
  <r>
    <x v="0"/>
    <x v="1"/>
    <x v="1"/>
    <s v="Mobile"/>
    <s v="SearchAd"/>
    <n v="52022"/>
    <n v="1683"/>
    <n v="66"/>
    <n v="5316.04"/>
    <n v="63261.95"/>
    <n v="0"/>
    <n v="0"/>
    <n v="0"/>
    <n v="102.18830494790664"/>
    <n v="3.2351697358809738E-2"/>
    <n v="3.1586690433749256"/>
    <n v="3.9215686274509803E-2"/>
    <n v="10.900202030082543"/>
    <n v="0"/>
    <x v="0"/>
  </r>
  <r>
    <x v="3"/>
    <x v="1"/>
    <x v="4"/>
    <s v="Desktop"/>
    <s v="Other"/>
    <n v="34030"/>
    <n v="518"/>
    <n v="14"/>
    <n v="5297.21"/>
    <n v="18143.490000000002"/>
    <n v="155"/>
    <n v="28"/>
    <n v="8"/>
    <n v="155.66294446076992"/>
    <n v="1.5221863062004114E-2"/>
    <n v="10.226274131274131"/>
    <n v="2.7027027027027029E-2"/>
    <n v="2.4251030259325197"/>
    <n v="5.612694681163679E-3"/>
    <x v="0"/>
  </r>
  <r>
    <x v="0"/>
    <x v="1"/>
    <x v="0"/>
    <s v="Desktop"/>
    <s v="Display"/>
    <n v="23841"/>
    <n v="790"/>
    <n v="26"/>
    <n v="5212.3900000000003"/>
    <n v="23715.54"/>
    <n v="0"/>
    <n v="0"/>
    <n v="0"/>
    <n v="218.63134935615119"/>
    <n v="3.3136193951595991E-2"/>
    <n v="6.5979620253164564"/>
    <n v="3.2911392405063293E-2"/>
    <n v="3.5498399006981445"/>
    <n v="0"/>
    <x v="0"/>
  </r>
  <r>
    <x v="0"/>
    <x v="3"/>
    <x v="4"/>
    <s v="Mobile"/>
    <s v="Display"/>
    <n v="16988"/>
    <n v="573"/>
    <n v="20"/>
    <n v="5211.07"/>
    <n v="12935.38"/>
    <n v="0"/>
    <n v="0"/>
    <n v="0"/>
    <n v="306.7500588650812"/>
    <n v="3.3729691546974333E-2"/>
    <n v="9.0943630017452008"/>
    <n v="3.4904013961605584E-2"/>
    <n v="1.4822886662432091"/>
    <n v="0"/>
    <x v="0"/>
  </r>
  <r>
    <x v="0"/>
    <x v="0"/>
    <x v="3"/>
    <s v="Mobile"/>
    <s v="SearchAd"/>
    <n v="0"/>
    <n v="1312"/>
    <n v="43"/>
    <n v="5196.88"/>
    <n v="36063.199999999997"/>
    <n v="0"/>
    <n v="0"/>
    <n v="0"/>
    <n v="0"/>
    <n v="0"/>
    <n v="3.9610365853658536"/>
    <n v="3.277439024390244E-2"/>
    <n v="5.9393944058742933"/>
    <n v="0"/>
    <x v="0"/>
  </r>
  <r>
    <x v="3"/>
    <x v="2"/>
    <x v="4"/>
    <s v="Desktop"/>
    <s v="Video"/>
    <n v="11685"/>
    <n v="86"/>
    <n v="0"/>
    <n v="5139.76"/>
    <n v="3422"/>
    <n v="26"/>
    <n v="4"/>
    <n v="2"/>
    <n v="439.85964912280707"/>
    <n v="7.3598630723149339E-3"/>
    <n v="59.764651162790699"/>
    <n v="0"/>
    <n v="-0.33421015767273182"/>
    <n v="2.7385537013264868E-3"/>
    <x v="0"/>
  </r>
  <r>
    <x v="1"/>
    <x v="1"/>
    <x v="0"/>
    <s v="Desktop"/>
    <s v="Video"/>
    <n v="17262"/>
    <n v="89"/>
    <n v="0"/>
    <n v="5111.9399999999996"/>
    <n v="0"/>
    <n v="0"/>
    <n v="2"/>
    <n v="1"/>
    <n v="296.13833854709765"/>
    <n v="5.155833622986908E-3"/>
    <n v="57.437528089887635"/>
    <n v="0"/>
    <n v="-1"/>
    <n v="1.7379214459506431E-4"/>
    <x v="0"/>
  </r>
  <r>
    <x v="3"/>
    <x v="3"/>
    <x v="0"/>
    <s v="Desktop"/>
    <s v="Carousel"/>
    <n v="69366"/>
    <n v="565"/>
    <n v="8"/>
    <n v="5108.55"/>
    <n v="5712.4"/>
    <n v="211"/>
    <n v="14"/>
    <n v="17"/>
    <n v="73.646310872761873"/>
    <n v="8.1452008188449675E-3"/>
    <n v="9.0416814159292045"/>
    <n v="1.415929203539823E-2"/>
    <n v="0.1182037955975765"/>
    <n v="3.4887408816999684E-3"/>
    <x v="0"/>
  </r>
  <r>
    <x v="0"/>
    <x v="0"/>
    <x v="4"/>
    <s v="Mobile"/>
    <s v="Display"/>
    <n v="77582"/>
    <n v="3179"/>
    <n v="88"/>
    <n v="5059.8599999999997"/>
    <n v="76768.429999999993"/>
    <n v="0"/>
    <n v="0"/>
    <n v="0"/>
    <n v="65.219509680080435"/>
    <n v="4.0975999587533188E-2"/>
    <n v="1.5916514627241269"/>
    <n v="2.768166089965398E-2"/>
    <n v="14.172046262149545"/>
    <n v="0"/>
    <x v="0"/>
  </r>
  <r>
    <x v="3"/>
    <x v="3"/>
    <x v="3"/>
    <s v="Mobile"/>
    <s v="Carousel"/>
    <n v="14364"/>
    <n v="0"/>
    <n v="4"/>
    <n v="5050.9399999999996"/>
    <n v="5277.65"/>
    <n v="79"/>
    <n v="4"/>
    <n v="3"/>
    <n v="351.63881927039819"/>
    <n v="0"/>
    <n v="0"/>
    <n v="0"/>
    <n v="4.4884714528384828E-2"/>
    <n v="5.9871901977165132E-3"/>
    <x v="0"/>
  </r>
  <r>
    <x v="1"/>
    <x v="1"/>
    <x v="2"/>
    <s v="Mobile"/>
    <s v="Video"/>
    <n v="56767"/>
    <n v="943"/>
    <n v="14"/>
    <n v="5047.3599999999997"/>
    <n v="8477.67"/>
    <n v="324"/>
    <n v="46"/>
    <n v="29"/>
    <n v="88.913629397361134"/>
    <n v="1.6611763876900311E-2"/>
    <n v="5.3524496288441146"/>
    <n v="1.4846235418875928E-2"/>
    <n v="0.67962459582831436"/>
    <n v="7.0287314813183713E-3"/>
    <x v="0"/>
  </r>
  <r>
    <x v="0"/>
    <x v="3"/>
    <x v="3"/>
    <s v="Mobile"/>
    <s v="Display"/>
    <n v="11061"/>
    <n v="302"/>
    <n v="0"/>
    <n v="5039.67"/>
    <n v="4980.05"/>
    <n v="0"/>
    <n v="0"/>
    <n v="0"/>
    <n v="455.62516951451045"/>
    <n v="2.7303137148539915E-2"/>
    <n v="16.687649006622518"/>
    <n v="0"/>
    <n v="-1.183013967184357E-2"/>
    <n v="0"/>
    <x v="0"/>
  </r>
  <r>
    <x v="3"/>
    <x v="1"/>
    <x v="4"/>
    <s v="Mobile"/>
    <s v="Video"/>
    <n v="62136"/>
    <n v="1209"/>
    <n v="35"/>
    <n v="4996.68"/>
    <n v="46374.65"/>
    <n v="499"/>
    <n v="34"/>
    <n v="23"/>
    <n v="80.415218230977217"/>
    <n v="1.9457319428350713E-2"/>
    <n v="4.1329032258064515"/>
    <n v="2.8949545078577336E-2"/>
    <n v="8.2810926455166225"/>
    <n v="8.9481138148577322E-3"/>
    <x v="0"/>
  </r>
  <r>
    <x v="2"/>
    <x v="2"/>
    <x v="4"/>
    <s v="Desktop"/>
    <s v="Image"/>
    <n v="77887"/>
    <n v="827"/>
    <n v="0"/>
    <n v="4926.2299999999996"/>
    <n v="30335.79"/>
    <n v="368"/>
    <n v="37"/>
    <n v="28"/>
    <n v="63.248423998870152"/>
    <n v="1.0617946512254934E-2"/>
    <n v="5.9567472793228529"/>
    <n v="0"/>
    <n v="5.1580133286509167"/>
    <n v="5.5593359610718093E-3"/>
    <x v="0"/>
  </r>
  <r>
    <x v="3"/>
    <x v="2"/>
    <x v="1"/>
    <s v="Desktop"/>
    <s v="Video"/>
    <n v="48257"/>
    <n v="756"/>
    <n v="24"/>
    <n v="4888.62"/>
    <n v="25324.16"/>
    <n v="293"/>
    <n v="42"/>
    <n v="18"/>
    <n v="101.30385229085935"/>
    <n v="1.5666120977267547E-2"/>
    <n v="6.4664285714285716"/>
    <n v="3.1746031746031744E-2"/>
    <n v="4.180226730652004"/>
    <n v="7.3150009325072011E-3"/>
    <x v="0"/>
  </r>
  <r>
    <x v="1"/>
    <x v="2"/>
    <x v="2"/>
    <s v="Desktop"/>
    <s v="Video"/>
    <n v="67887"/>
    <n v="871"/>
    <n v="10"/>
    <n v="4824.29"/>
    <n v="8557.7199999999993"/>
    <n v="399"/>
    <n v="46"/>
    <n v="22"/>
    <n v="71.063532045899805"/>
    <n v="1.2830144210231709E-2"/>
    <n v="5.5387944890929965"/>
    <n v="1.1481056257175661E-2"/>
    <n v="0.77388175254804326"/>
    <n v="6.8790784686316971E-3"/>
    <x v="0"/>
  </r>
  <r>
    <x v="2"/>
    <x v="2"/>
    <x v="1"/>
    <s v="Desktop"/>
    <s v="Carousel"/>
    <n v="32086"/>
    <n v="253"/>
    <n v="7"/>
    <n v="4775.09"/>
    <n v="4794.07"/>
    <n v="118"/>
    <n v="10"/>
    <n v="2"/>
    <n v="148.82160443807268"/>
    <n v="7.8850589041949762E-3"/>
    <n v="18.873873517786564"/>
    <n v="2.766798418972332E-2"/>
    <n v="3.9747941923606806E-3"/>
    <n v="4.0516112946456396E-3"/>
    <x v="0"/>
  </r>
  <r>
    <x v="1"/>
    <x v="1"/>
    <x v="1"/>
    <s v="Mobile"/>
    <s v="Video"/>
    <n v="62039"/>
    <n v="433"/>
    <n v="7"/>
    <n v="4772.82"/>
    <n v="4108.79"/>
    <n v="197"/>
    <n v="13"/>
    <n v="11"/>
    <n v="76.932574670771615"/>
    <n v="6.9794806492690081E-3"/>
    <n v="11.022678983833718"/>
    <n v="1.6166281755196306E-2"/>
    <n v="-0.13912739219161832"/>
    <n v="3.5622753429294476E-3"/>
    <x v="0"/>
  </r>
  <r>
    <x v="3"/>
    <x v="0"/>
    <x v="2"/>
    <s v="Mobile"/>
    <s v="Video"/>
    <n v="44981"/>
    <n v="425"/>
    <n v="9"/>
    <n v="4767.83"/>
    <n v="11351.15"/>
    <n v="186"/>
    <n v="18"/>
    <n v="16"/>
    <n v="105.99653186901135"/>
    <n v="9.4484337831528872E-3"/>
    <n v="11.218423529411764"/>
    <n v="2.1176470588235293E-2"/>
    <n v="1.3807790965701376"/>
    <n v="4.8909539583379645E-3"/>
    <x v="0"/>
  </r>
  <r>
    <x v="1"/>
    <x v="2"/>
    <x v="0"/>
    <s v="Desktop"/>
    <s v="Video"/>
    <n v="63077"/>
    <n v="322"/>
    <n v="3"/>
    <n v="4673.22"/>
    <n v="2061.96"/>
    <n v="123"/>
    <n v="15"/>
    <n v="12"/>
    <n v="74.0875437956783"/>
    <n v="5.104871823327045E-3"/>
    <n v="14.513105590062112"/>
    <n v="9.316770186335404E-3"/>
    <n v="-0.5587710400965501"/>
    <n v="2.3780458804318529E-3"/>
    <x v="0"/>
  </r>
  <r>
    <x v="1"/>
    <x v="3"/>
    <x v="1"/>
    <s v="Desktop"/>
    <s v="Video"/>
    <n v="0"/>
    <n v="789"/>
    <n v="15"/>
    <n v="4667.92"/>
    <n v="13107.88"/>
    <n v="242"/>
    <n v="23"/>
    <n v="28"/>
    <n v="0"/>
    <n v="0"/>
    <n v="5.9162484157160966"/>
    <n v="1.9011406844106463E-2"/>
    <n v="1.8080772592503724"/>
    <n v="0"/>
    <x v="0"/>
  </r>
  <r>
    <x v="3"/>
    <x v="3"/>
    <x v="4"/>
    <s v="Desktop"/>
    <s v="Image"/>
    <n v="32657"/>
    <n v="361"/>
    <n v="0"/>
    <n v="4593.75"/>
    <n v="2011.44"/>
    <n v="109"/>
    <n v="10"/>
    <n v="9"/>
    <n v="140.66662583825826"/>
    <n v="1.1054291576078635E-2"/>
    <n v="12.725069252077562"/>
    <n v="0"/>
    <n v="-0.56213551020408159"/>
    <n v="3.9195272070306521E-3"/>
    <x v="0"/>
  </r>
  <r>
    <x v="2"/>
    <x v="3"/>
    <x v="0"/>
    <s v="Mobile"/>
    <s v="Video"/>
    <n v="0"/>
    <n v="369"/>
    <n v="5"/>
    <n v="4568.63"/>
    <n v="4016.84"/>
    <n v="133"/>
    <n v="11"/>
    <n v="13"/>
    <n v="0"/>
    <n v="0"/>
    <n v="12.381111111111112"/>
    <n v="1.3550135501355014E-2"/>
    <n v="-0.12077800128266022"/>
    <n v="0"/>
    <x v="0"/>
  </r>
  <r>
    <x v="1"/>
    <x v="2"/>
    <x v="0"/>
    <s v="Desktop"/>
    <s v="Video"/>
    <n v="69385"/>
    <n v="827"/>
    <n v="11"/>
    <n v="4543.72"/>
    <n v="0"/>
    <n v="359"/>
    <n v="25"/>
    <n v="23"/>
    <n v="65.485623693881976"/>
    <n v="1.1919002666282338E-2"/>
    <n v="5.494220072551391"/>
    <n v="1.3301088270858524E-2"/>
    <n v="-1"/>
    <n v="5.865821142898321E-3"/>
    <x v="0"/>
  </r>
  <r>
    <x v="0"/>
    <x v="1"/>
    <x v="3"/>
    <s v="Desktop"/>
    <s v="SearchAd"/>
    <n v="39037"/>
    <n v="697"/>
    <n v="9"/>
    <n v="4538.7"/>
    <n v="12134.53"/>
    <n v="0"/>
    <n v="0"/>
    <n v="0"/>
    <n v="116.26661884878447"/>
    <n v="1.7854855649768169E-2"/>
    <n v="6.5117647058823529"/>
    <n v="1.2912482065997131E-2"/>
    <n v="1.6735695243131297"/>
    <n v="0"/>
    <x v="0"/>
  </r>
  <r>
    <x v="1"/>
    <x v="3"/>
    <x v="2"/>
    <s v="Mobile"/>
    <s v="Video"/>
    <n v="17652"/>
    <n v="172"/>
    <n v="3"/>
    <n v="4513.43"/>
    <n v="1548.63"/>
    <n v="52"/>
    <n v="7"/>
    <n v="4"/>
    <n v="255.68944029005215"/>
    <n v="9.7439383639247677E-3"/>
    <n v="26.240872093023256"/>
    <n v="1.7441860465116279E-2"/>
    <n v="-0.65688401060834001"/>
    <n v="3.5690006798096531E-3"/>
    <x v="0"/>
  </r>
  <r>
    <x v="1"/>
    <x v="1"/>
    <x v="3"/>
    <s v="Desktop"/>
    <s v="Video"/>
    <n v="73905"/>
    <n v="1056"/>
    <n v="13"/>
    <n v="4504.78"/>
    <n v="13690.12"/>
    <n v="448"/>
    <n v="29"/>
    <n v="30"/>
    <n v="60.953656721466743"/>
    <n v="1.4288613760909275E-2"/>
    <n v="4.2658901515151513"/>
    <n v="1.231060606060606E-2"/>
    <n v="2.0390207734894936"/>
    <n v="6.8601583113456462E-3"/>
    <x v="0"/>
  </r>
  <r>
    <x v="3"/>
    <x v="0"/>
    <x v="4"/>
    <s v="Mobile"/>
    <s v="Video"/>
    <n v="35997"/>
    <n v="570"/>
    <n v="13"/>
    <n v="4488.67"/>
    <n v="9390.3799999999992"/>
    <n v="243"/>
    <n v="12"/>
    <n v="21"/>
    <n v="124.69566908353474"/>
    <n v="1.5834652887740646E-2"/>
    <n v="7.8748596491228069"/>
    <n v="2.2807017543859651E-2"/>
    <n v="1.0920183484194648"/>
    <n v="7.667305608800733E-3"/>
    <x v="0"/>
  </r>
  <r>
    <x v="3"/>
    <x v="1"/>
    <x v="4"/>
    <s v="Mobile"/>
    <s v="Image"/>
    <n v="57991"/>
    <n v="0"/>
    <n v="19"/>
    <n v="4461.57"/>
    <n v="0"/>
    <n v="223"/>
    <n v="16"/>
    <n v="13"/>
    <n v="76.935558966046457"/>
    <n v="0"/>
    <n v="0"/>
    <n v="0"/>
    <n v="-1"/>
    <n v="4.345501888224035E-3"/>
    <x v="0"/>
  </r>
  <r>
    <x v="2"/>
    <x v="0"/>
    <x v="2"/>
    <s v="Desktop"/>
    <s v="Video"/>
    <n v="19197"/>
    <n v="147"/>
    <n v="4"/>
    <n v="4458.49"/>
    <n v="5457.92"/>
    <n v="55"/>
    <n v="4"/>
    <n v="5"/>
    <n v="232.2493097879877"/>
    <n v="7.6574464760118767E-3"/>
    <n v="30.329863945578229"/>
    <n v="2.7210884353741496E-2"/>
    <n v="0.22416333781168071"/>
    <n v="3.3338542480595926E-3"/>
    <x v="0"/>
  </r>
  <r>
    <x v="1"/>
    <x v="3"/>
    <x v="0"/>
    <s v="Mobile"/>
    <s v="Video"/>
    <n v="78542"/>
    <n v="671"/>
    <n v="9"/>
    <n v="4379.83"/>
    <n v="10955.25"/>
    <n v="266"/>
    <n v="21"/>
    <n v="25"/>
    <n v="55.764177128160732"/>
    <n v="8.5431998166586032E-3"/>
    <n v="6.5273174366616988"/>
    <n v="1.3412816691505217E-2"/>
    <n v="1.5012957123906636"/>
    <n v="3.9723969341244171E-3"/>
    <x v="0"/>
  </r>
  <r>
    <x v="2"/>
    <x v="0"/>
    <x v="1"/>
    <s v="Mobile"/>
    <s v="Video"/>
    <n v="18781"/>
    <n v="161"/>
    <n v="3"/>
    <n v="4362.21"/>
    <n v="4260.82"/>
    <n v="48"/>
    <n v="8"/>
    <n v="5"/>
    <n v="232.26718492093073"/>
    <n v="8.5724934774506142E-3"/>
    <n v="27.09447204968944"/>
    <n v="1.8633540372670808E-2"/>
    <n v="-2.3242805825487614E-2"/>
    <n v="3.2479633672328418E-3"/>
    <x v="0"/>
  </r>
  <r>
    <x v="3"/>
    <x v="2"/>
    <x v="4"/>
    <s v="Mobile"/>
    <s v="Video"/>
    <n v="44687"/>
    <n v="666"/>
    <n v="11"/>
    <n v="4347.6000000000004"/>
    <n v="14984.32"/>
    <n v="331"/>
    <n v="28"/>
    <n v="7"/>
    <n v="97.290039608834803"/>
    <n v="1.4903663257770716E-2"/>
    <n v="6.5279279279279283"/>
    <n v="1.6516516516516516E-2"/>
    <n v="2.4465728217867326"/>
    <n v="8.1903014299460689E-3"/>
    <x v="0"/>
  </r>
  <r>
    <x v="0"/>
    <x v="2"/>
    <x v="4"/>
    <s v="Desktop"/>
    <s v="Display"/>
    <n v="25738"/>
    <n v="852"/>
    <n v="34"/>
    <n v="4304.62"/>
    <n v="39599.11"/>
    <n v="0"/>
    <n v="0"/>
    <n v="0"/>
    <n v="167.24764939000698"/>
    <n v="3.3102805190768511E-2"/>
    <n v="5.0523708920187795"/>
    <n v="3.9906103286384977E-2"/>
    <n v="8.1992115448053475"/>
    <n v="0"/>
    <x v="0"/>
  </r>
  <r>
    <x v="1"/>
    <x v="1"/>
    <x v="1"/>
    <s v="Mobile"/>
    <s v="Video"/>
    <n v="67179"/>
    <n v="443"/>
    <n v="6"/>
    <n v="4280.67"/>
    <n v="7433.56"/>
    <n v="135"/>
    <n v="20"/>
    <n v="5"/>
    <n v="63.720359040771669"/>
    <n v="6.5943226305839623E-3"/>
    <n v="9.6629119638826193"/>
    <n v="1.3544018058690745E-2"/>
    <n v="0.73654124237560947"/>
    <n v="2.381696661158993E-3"/>
    <x v="0"/>
  </r>
  <r>
    <x v="2"/>
    <x v="1"/>
    <x v="2"/>
    <s v="Mobile"/>
    <s v="Other"/>
    <n v="11601"/>
    <n v="66"/>
    <n v="1"/>
    <n v="4250.96"/>
    <n v="767.89"/>
    <n v="22"/>
    <n v="1"/>
    <n v="0"/>
    <n v="366.43048013102322"/>
    <n v="5.6891647271786914E-3"/>
    <n v="64.408484848484846"/>
    <n v="1.5151515151515152E-2"/>
    <n v="-0.81936080320680504"/>
    <n v="1.9825877079562106E-3"/>
    <x v="0"/>
  </r>
  <r>
    <x v="0"/>
    <x v="1"/>
    <x v="1"/>
    <s v="Mobile"/>
    <s v="SearchAd"/>
    <n v="31061"/>
    <n v="0"/>
    <n v="0"/>
    <n v="4243.71"/>
    <n v="0"/>
    <n v="0"/>
    <n v="0"/>
    <n v="0"/>
    <n v="136.62502817037441"/>
    <n v="0"/>
    <n v="0"/>
    <n v="0"/>
    <n v="-1"/>
    <n v="0"/>
    <x v="0"/>
  </r>
  <r>
    <x v="0"/>
    <x v="4"/>
    <x v="4"/>
    <s v="Desktop"/>
    <s v="Display"/>
    <n v="66978"/>
    <n v="3348"/>
    <n v="140"/>
    <n v="4227.91"/>
    <n v="189550.73"/>
    <n v="0"/>
    <n v="0"/>
    <n v="0"/>
    <n v="63.123861566484514"/>
    <n v="4.9986562751948398E-2"/>
    <n v="1.2628166069295101"/>
    <n v="4.1816009557945039E-2"/>
    <n v="43.833198909153701"/>
    <n v="0"/>
    <x v="1"/>
  </r>
  <r>
    <x v="3"/>
    <x v="2"/>
    <x v="4"/>
    <s v="Mobile"/>
    <s v="Image"/>
    <n v="48856"/>
    <n v="927"/>
    <n v="10"/>
    <n v="4189.43"/>
    <n v="12592.39"/>
    <n v="337"/>
    <n v="37"/>
    <n v="25"/>
    <n v="85.750573112821357"/>
    <n v="1.8974128049778941E-2"/>
    <n v="4.519341963322546"/>
    <n v="1.0787486515641856E-2"/>
    <n v="2.005752572545668"/>
    <n v="8.1668577042737847E-3"/>
    <x v="0"/>
  </r>
  <r>
    <x v="3"/>
    <x v="3"/>
    <x v="3"/>
    <s v="Mobile"/>
    <s v="Image"/>
    <n v="29941"/>
    <n v="413"/>
    <n v="10"/>
    <n v="4170.5600000000004"/>
    <n v="8745.1"/>
    <n v="174"/>
    <n v="11"/>
    <n v="14"/>
    <n v="139.29260879730137"/>
    <n v="1.3793794462442804E-2"/>
    <n v="10.098208232445522"/>
    <n v="2.4213075060532687E-2"/>
    <n v="1.096864689634006"/>
    <n v="6.6464045957048863E-3"/>
    <x v="0"/>
  </r>
  <r>
    <x v="3"/>
    <x v="3"/>
    <x v="0"/>
    <s v="Desktop"/>
    <s v="Image"/>
    <n v="56979"/>
    <n v="892"/>
    <n v="18"/>
    <n v="4163.74"/>
    <n v="18483"/>
    <n v="407"/>
    <n v="33"/>
    <n v="31"/>
    <n v="73.074992541111627"/>
    <n v="1.5654890398216888E-2"/>
    <n v="4.6678699551569505"/>
    <n v="2.0179372197309416E-2"/>
    <n v="3.4390379802773472"/>
    <n v="8.2662033380719209E-3"/>
    <x v="0"/>
  </r>
  <r>
    <x v="2"/>
    <x v="3"/>
    <x v="4"/>
    <s v="Mobile"/>
    <s v="Video"/>
    <n v="10925"/>
    <n v="87"/>
    <n v="2"/>
    <n v="4155.63"/>
    <n v="1302.97"/>
    <n v="37"/>
    <n v="1"/>
    <n v="2"/>
    <n v="380.37803203661332"/>
    <n v="7.9633867276887871E-3"/>
    <n v="47.765862068965518"/>
    <n v="2.2988505747126436E-2"/>
    <n v="-0.68645668647112468"/>
    <n v="3.6613272311212816E-3"/>
    <x v="0"/>
  </r>
  <r>
    <x v="1"/>
    <x v="3"/>
    <x v="4"/>
    <s v="Desktop"/>
    <s v="Video"/>
    <n v="15231"/>
    <n v="239"/>
    <n v="4"/>
    <n v="4103.6899999999996"/>
    <n v="0"/>
    <n v="74"/>
    <n v="7"/>
    <n v="4"/>
    <n v="269.43010964480334"/>
    <n v="1.5691681439170112E-2"/>
    <n v="17.170251046025104"/>
    <n v="1.6736401673640166E-2"/>
    <n v="-1"/>
    <n v="5.5807235243910446E-3"/>
    <x v="0"/>
  </r>
  <r>
    <x v="2"/>
    <x v="0"/>
    <x v="3"/>
    <s v="Desktop"/>
    <s v="Video"/>
    <n v="51090"/>
    <n v="122"/>
    <n v="2"/>
    <n v="4082.78"/>
    <n v="2799.39"/>
    <n v="43"/>
    <n v="2"/>
    <n v="3"/>
    <n v="79.913486005089055"/>
    <n v="2.3879428459581131E-3"/>
    <n v="33.465409836065575"/>
    <n v="1.6393442622950821E-2"/>
    <n v="-0.31434218841083778"/>
    <n v="9.3951849677040517E-4"/>
    <x v="0"/>
  </r>
  <r>
    <x v="2"/>
    <x v="1"/>
    <x v="3"/>
    <s v="Mobile"/>
    <s v="Video"/>
    <n v="59759"/>
    <n v="547"/>
    <n v="11"/>
    <n v="4070.73"/>
    <n v="7644.28"/>
    <n v="202"/>
    <n v="13"/>
    <n v="12"/>
    <n v="68.119111765591796"/>
    <n v="9.1534329557054171E-3"/>
    <n v="7.4419195612431448"/>
    <n v="2.0109689213893969E-2"/>
    <n v="0.87786465818170201"/>
    <n v="3.7985910072123028E-3"/>
    <x v="0"/>
  </r>
  <r>
    <x v="1"/>
    <x v="0"/>
    <x v="0"/>
    <s v="Mobile"/>
    <s v="Video"/>
    <n v="76535"/>
    <n v="1006"/>
    <n v="9"/>
    <n v="4044.64"/>
    <n v="7213.38"/>
    <n v="360"/>
    <n v="39"/>
    <n v="29"/>
    <n v="52.846932775854185"/>
    <n v="1.3144313059384596E-2"/>
    <n v="4.0205168986083502"/>
    <n v="8.9463220675944331E-3"/>
    <n v="0.78344178962775435"/>
    <n v="5.5922127131377798E-3"/>
    <x v="0"/>
  </r>
  <r>
    <x v="1"/>
    <x v="1"/>
    <x v="3"/>
    <s v="Mobile"/>
    <s v="Video"/>
    <n v="47004"/>
    <n v="567"/>
    <n v="5"/>
    <n v="4017.77"/>
    <n v="7192.57"/>
    <n v="250"/>
    <n v="17"/>
    <n v="7"/>
    <n v="85.477193430346347"/>
    <n v="1.2062803165688026E-2"/>
    <n v="7.0860141093474427"/>
    <n v="8.8183421516754845E-3"/>
    <n v="0.79018958277850637"/>
    <n v="5.8292911241596456E-3"/>
    <x v="0"/>
  </r>
  <r>
    <x v="2"/>
    <x v="1"/>
    <x v="3"/>
    <s v="Desktop"/>
    <s v="Carousel"/>
    <n v="29498"/>
    <n v="295"/>
    <n v="5"/>
    <n v="3973.39"/>
    <n v="7365.26"/>
    <n v="100"/>
    <n v="11"/>
    <n v="6"/>
    <n v="134.70031866567226"/>
    <n v="1.0000678012068614E-2"/>
    <n v="13.469118644067796"/>
    <n v="1.6949152542372881E-2"/>
    <n v="0.85364638255998038"/>
    <n v="3.9663706013967044E-3"/>
    <x v="0"/>
  </r>
  <r>
    <x v="3"/>
    <x v="1"/>
    <x v="0"/>
    <s v="Desktop"/>
    <s v="Video"/>
    <n v="19247"/>
    <n v="265"/>
    <n v="4"/>
    <n v="3953.63"/>
    <n v="5729.21"/>
    <n v="127"/>
    <n v="7"/>
    <n v="5"/>
    <n v="205.41538941133683"/>
    <n v="1.3768379487712371E-2"/>
    <n v="14.919358490566038"/>
    <n v="1.509433962264151E-2"/>
    <n v="0.44910120572739481"/>
    <n v="7.2219047124227149E-3"/>
    <x v="0"/>
  </r>
  <r>
    <x v="1"/>
    <x v="1"/>
    <x v="3"/>
    <s v="Desktop"/>
    <s v="Video"/>
    <n v="66295"/>
    <n v="591"/>
    <n v="16"/>
    <n v="3866.21"/>
    <n v="18403.7"/>
    <n v="236"/>
    <n v="22"/>
    <n v="18"/>
    <n v="58.31827437966664"/>
    <n v="8.914699449430576E-3"/>
    <n v="6.5418104906937398"/>
    <n v="2.7072758037225041E-2"/>
    <n v="3.7601397751286147"/>
    <n v="4.1632098951655478E-3"/>
    <x v="0"/>
  </r>
  <r>
    <x v="2"/>
    <x v="1"/>
    <x v="1"/>
    <s v="Mobile"/>
    <s v="Video"/>
    <n v="61807"/>
    <n v="666"/>
    <n v="19"/>
    <n v="3839.42"/>
    <n v="19541.22"/>
    <n v="224"/>
    <n v="35"/>
    <n v="25"/>
    <n v="62.119501027391721"/>
    <n v="1.0775478505670878E-2"/>
    <n v="5.764894894894895"/>
    <n v="2.8528528528528527E-2"/>
    <n v="4.0896281209140968"/>
    <n v="4.5949487922080021E-3"/>
    <x v="0"/>
  </r>
  <r>
    <x v="2"/>
    <x v="1"/>
    <x v="0"/>
    <s v="Desktop"/>
    <s v="Image"/>
    <n v="28810"/>
    <n v="177"/>
    <n v="2"/>
    <n v="3835.51"/>
    <n v="2115.16"/>
    <n v="73"/>
    <n v="6"/>
    <n v="3"/>
    <n v="133.13120444290178"/>
    <n v="6.14370010413051E-3"/>
    <n v="21.669548022598871"/>
    <n v="1.1299435028248588E-2"/>
    <n v="-0.44853226819901404"/>
    <n v="2.8462339465463379E-3"/>
    <x v="0"/>
  </r>
  <r>
    <x v="2"/>
    <x v="3"/>
    <x v="2"/>
    <s v="Mobile"/>
    <s v="Carousel"/>
    <n v="14380"/>
    <n v="153"/>
    <n v="3"/>
    <n v="3832"/>
    <n v="4146.3"/>
    <n v="75"/>
    <n v="4"/>
    <n v="2"/>
    <n v="266.48122392211405"/>
    <n v="1.0639777468706537E-2"/>
    <n v="25.045751633986928"/>
    <n v="1.9607843137254902E-2"/>
    <n v="8.2019832985386273E-2"/>
    <n v="5.6328233657858134E-3"/>
    <x v="0"/>
  </r>
  <r>
    <x v="3"/>
    <x v="3"/>
    <x v="0"/>
    <s v="Desktop"/>
    <s v="Video"/>
    <n v="16462"/>
    <n v="302"/>
    <n v="9"/>
    <n v="3785.43"/>
    <n v="5685.98"/>
    <n v="99"/>
    <n v="15"/>
    <n v="11"/>
    <n v="229.94958085287328"/>
    <n v="1.8345280038877414E-2"/>
    <n v="12.534536423841059"/>
    <n v="2.9801324503311258E-2"/>
    <n v="0.50206977807012676"/>
    <n v="7.5932450492042277E-3"/>
    <x v="0"/>
  </r>
  <r>
    <x v="0"/>
    <x v="0"/>
    <x v="2"/>
    <s v="Mobile"/>
    <s v="Display"/>
    <n v="79925"/>
    <n v="0"/>
    <n v="133"/>
    <n v="3773.87"/>
    <n v="97186.78"/>
    <n v="0"/>
    <n v="0"/>
    <n v="0"/>
    <n v="47.217641538942758"/>
    <n v="0"/>
    <n v="0"/>
    <n v="0"/>
    <n v="24.752551094764794"/>
    <n v="0"/>
    <x v="0"/>
  </r>
  <r>
    <x v="2"/>
    <x v="0"/>
    <x v="1"/>
    <s v="Mobile"/>
    <s v="Image"/>
    <n v="42207"/>
    <n v="213"/>
    <n v="2"/>
    <n v="3742.15"/>
    <n v="2649.83"/>
    <n v="99"/>
    <n v="5"/>
    <n v="3"/>
    <n v="88.661833345179716"/>
    <n v="5.0465562584405431E-3"/>
    <n v="17.568779342723005"/>
    <n v="9.3896713615023476E-3"/>
    <n v="-0.29189636973397648"/>
    <n v="2.5351245054137939E-3"/>
    <x v="0"/>
  </r>
  <r>
    <x v="1"/>
    <x v="3"/>
    <x v="4"/>
    <s v="Desktop"/>
    <s v="Video"/>
    <n v="11833"/>
    <n v="94"/>
    <n v="1"/>
    <n v="3694.49"/>
    <n v="843.06"/>
    <n v="33"/>
    <n v="2"/>
    <n v="2"/>
    <n v="312.21921744274482"/>
    <n v="7.9438857432603729E-3"/>
    <n v="39.303085106382973"/>
    <n v="1.0638297872340425E-2"/>
    <n v="-0.77180612208992305"/>
    <n v="3.1268486436237639E-3"/>
    <x v="0"/>
  </r>
  <r>
    <x v="0"/>
    <x v="1"/>
    <x v="1"/>
    <s v="Mobile"/>
    <s v="SearchAd"/>
    <n v="41985"/>
    <n v="712"/>
    <n v="28"/>
    <n v="3683.79"/>
    <n v="27543.13"/>
    <n v="0"/>
    <n v="0"/>
    <n v="0"/>
    <n v="87.740621650589489"/>
    <n v="1.6958437537215671E-2"/>
    <n v="5.1738623595505615"/>
    <n v="3.9325842696629212E-2"/>
    <n v="6.4768458571199767"/>
    <n v="0"/>
    <x v="0"/>
  </r>
  <r>
    <x v="0"/>
    <x v="1"/>
    <x v="4"/>
    <s v="Mobile"/>
    <s v="SearchAd"/>
    <n v="31232"/>
    <n v="922"/>
    <n v="29"/>
    <n v="3681.35"/>
    <n v="20744.48"/>
    <n v="0"/>
    <n v="0"/>
    <n v="0"/>
    <n v="117.87109375"/>
    <n v="2.9521004098360656E-2"/>
    <n v="3.9927874186550976"/>
    <n v="3.1453362255965296E-2"/>
    <n v="4.6350197617721767"/>
    <n v="0"/>
    <x v="0"/>
  </r>
  <r>
    <x v="2"/>
    <x v="1"/>
    <x v="2"/>
    <s v="Mobile"/>
    <s v="Video"/>
    <n v="19143"/>
    <n v="208"/>
    <n v="6"/>
    <n v="3656.98"/>
    <n v="7237.99"/>
    <n v="97"/>
    <n v="8"/>
    <n v="4"/>
    <n v="191.03484302355952"/>
    <n v="1.0865590555294364E-2"/>
    <n v="17.581634615384615"/>
    <n v="2.8846153846153848E-2"/>
    <n v="0.97922602803406078"/>
    <n v="5.6939873583032961E-3"/>
    <x v="0"/>
  </r>
  <r>
    <x v="2"/>
    <x v="0"/>
    <x v="3"/>
    <s v="Desktop"/>
    <s v="Image"/>
    <n v="43530"/>
    <n v="226"/>
    <n v="5"/>
    <n v="3595.96"/>
    <n v="6154.93"/>
    <n v="97"/>
    <n v="6"/>
    <n v="3"/>
    <n v="82.608775557087071"/>
    <n v="5.1918217321387551E-3"/>
    <n v="15.911327433628319"/>
    <n v="2.2123893805309734E-2"/>
    <n v="0.71162359981757317"/>
    <n v="2.4351022283482654E-3"/>
    <x v="0"/>
  </r>
  <r>
    <x v="3"/>
    <x v="0"/>
    <x v="0"/>
    <s v="Desktop"/>
    <s v="Image"/>
    <n v="11543"/>
    <n v="116"/>
    <n v="0"/>
    <n v="3584.52"/>
    <n v="2097.7600000000002"/>
    <n v="39"/>
    <n v="5"/>
    <n v="2"/>
    <n v="310.53625573940917"/>
    <n v="1.0049380576973058E-2"/>
    <n v="30.901034482758622"/>
    <n v="0"/>
    <n v="-0.41477241025297662"/>
    <n v="3.9850991943169017E-3"/>
    <x v="0"/>
  </r>
  <r>
    <x v="2"/>
    <x v="0"/>
    <x v="0"/>
    <s v="Mobile"/>
    <s v="Carousel"/>
    <n v="24021"/>
    <n v="289"/>
    <n v="6"/>
    <n v="3562.39"/>
    <n v="6354.34"/>
    <n v="96"/>
    <n v="12"/>
    <n v="10"/>
    <n v="148.30315140918361"/>
    <n v="1.2031139419674451E-2"/>
    <n v="12.326608996539791"/>
    <n v="2.0761245674740483E-2"/>
    <n v="0.78372946252375519"/>
    <n v="4.9123683443653473E-3"/>
    <x v="0"/>
  </r>
  <r>
    <x v="3"/>
    <x v="1"/>
    <x v="3"/>
    <s v="Mobile"/>
    <s v="Image"/>
    <n v="79086"/>
    <n v="1123"/>
    <n v="19"/>
    <n v="3537.3"/>
    <n v="16264.68"/>
    <n v="515"/>
    <n v="62"/>
    <n v="40"/>
    <n v="44.727258933313109"/>
    <n v="1.419973193738462E-2"/>
    <n v="3.1498664292074801"/>
    <n v="1.6918967052537846E-2"/>
    <n v="3.5980493596811129"/>
    <n v="7.8016336646182637E-3"/>
    <x v="0"/>
  </r>
  <r>
    <x v="3"/>
    <x v="2"/>
    <x v="4"/>
    <s v="Desktop"/>
    <s v="Carousel"/>
    <n v="62576"/>
    <n v="760"/>
    <n v="20"/>
    <n v="3531.39"/>
    <n v="24892.06"/>
    <n v="299"/>
    <n v="33"/>
    <n v="10"/>
    <n v="56.43361672206597"/>
    <n v="1.2145231398619279E-2"/>
    <n v="4.6465657894736845"/>
    <n v="2.6315789473684209E-2"/>
    <n v="6.0487994812241084"/>
    <n v="5.4653541293786757E-3"/>
    <x v="0"/>
  </r>
  <r>
    <x v="2"/>
    <x v="2"/>
    <x v="0"/>
    <s v="Desktop"/>
    <s v="Video"/>
    <n v="68028"/>
    <n v="704"/>
    <n v="18"/>
    <n v="3505.76"/>
    <n v="24608.66"/>
    <n v="238"/>
    <n v="20"/>
    <n v="15"/>
    <n v="51.534074204739234"/>
    <n v="1.0348679955312518E-2"/>
    <n v="4.9797727272727279"/>
    <n v="2.556818181818182E-2"/>
    <n v="6.0194936333348545"/>
    <n v="4.0130534485799969E-3"/>
    <x v="0"/>
  </r>
  <r>
    <x v="2"/>
    <x v="2"/>
    <x v="0"/>
    <s v="Mobile"/>
    <s v="Image"/>
    <n v="29996"/>
    <n v="305"/>
    <n v="5"/>
    <n v="3455.49"/>
    <n v="2789.75"/>
    <n v="107"/>
    <n v="12"/>
    <n v="12"/>
    <n v="115.19835978130416"/>
    <n v="1.0168022402987064E-2"/>
    <n v="11.329475409836064"/>
    <n v="1.6393442622950821E-2"/>
    <n v="-0.19266153280721399"/>
    <n v="4.3672489665288706E-3"/>
    <x v="0"/>
  </r>
  <r>
    <x v="3"/>
    <x v="3"/>
    <x v="0"/>
    <s v="Desktop"/>
    <s v="Video"/>
    <n v="13994"/>
    <n v="259"/>
    <n v="2"/>
    <n v="3425.53"/>
    <n v="1491.86"/>
    <n v="129"/>
    <n v="11"/>
    <n v="6"/>
    <n v="244.78562240960414"/>
    <n v="1.8507931970844646E-2"/>
    <n v="13.225984555984557"/>
    <n v="7.7220077220077222E-3"/>
    <n v="-0.5644878310801541"/>
    <n v="1.0433042732599686E-2"/>
    <x v="0"/>
  </r>
  <r>
    <x v="1"/>
    <x v="3"/>
    <x v="0"/>
    <s v="Mobile"/>
    <s v="Video"/>
    <n v="62678"/>
    <n v="614"/>
    <n v="5"/>
    <n v="3425.21"/>
    <n v="3223.64"/>
    <n v="261"/>
    <n v="27"/>
    <n v="15"/>
    <n v="54.647723284086922"/>
    <n v="9.7961007051916137E-3"/>
    <n v="5.5785179153094466"/>
    <n v="8.1433224755700327E-3"/>
    <n v="-5.8848946487952608E-2"/>
    <n v="4.8342321069593797E-3"/>
    <x v="0"/>
  </r>
  <r>
    <x v="2"/>
    <x v="3"/>
    <x v="4"/>
    <s v="Mobile"/>
    <s v="Image"/>
    <n v="57579"/>
    <n v="553"/>
    <n v="10"/>
    <n v="3398.17"/>
    <n v="6070.15"/>
    <n v="255"/>
    <n v="28"/>
    <n v="6"/>
    <n v="59.017523749978288"/>
    <n v="9.6041959742267143E-3"/>
    <n v="6.1449728752260402"/>
    <n v="1.8083182640144666E-2"/>
    <n v="0.78629968483036439"/>
    <n v="5.019191024505462E-3"/>
    <x v="0"/>
  </r>
  <r>
    <x v="0"/>
    <x v="2"/>
    <x v="4"/>
    <s v="Mobile"/>
    <s v="Display"/>
    <n v="35004"/>
    <n v="1356"/>
    <n v="29"/>
    <n v="3393.55"/>
    <n v="41558.75"/>
    <n v="0"/>
    <n v="0"/>
    <n v="0"/>
    <n v="96.947491715232545"/>
    <n v="3.8738429893726431E-2"/>
    <n v="2.5026179941002953"/>
    <n v="2.1386430678466076E-2"/>
    <n v="11.246393894299478"/>
    <n v="0"/>
    <x v="0"/>
  </r>
  <r>
    <x v="3"/>
    <x v="2"/>
    <x v="1"/>
    <s v="Mobile"/>
    <s v="Video"/>
    <n v="20878"/>
    <n v="253"/>
    <n v="5"/>
    <n v="3373.89"/>
    <n v="3968.85"/>
    <n v="112"/>
    <n v="6"/>
    <n v="7"/>
    <n v="161.60024906600248"/>
    <n v="1.2118018967334035E-2"/>
    <n v="13.335533596837944"/>
    <n v="1.9762845849802372E-2"/>
    <n v="0.17634244151409798"/>
    <n v="5.9871635214100967E-3"/>
    <x v="0"/>
  </r>
  <r>
    <x v="3"/>
    <x v="1"/>
    <x v="2"/>
    <s v="Mobile"/>
    <s v="Video"/>
    <n v="10459"/>
    <n v="174"/>
    <n v="4"/>
    <n v="3361.35"/>
    <n v="4764.34"/>
    <n v="71"/>
    <n v="5"/>
    <n v="4"/>
    <n v="321.38349746629694"/>
    <n v="1.6636389712209581E-2"/>
    <n v="19.31810344827586"/>
    <n v="2.2988505747126436E-2"/>
    <n v="0.4173888467431241"/>
    <n v="7.6489148102113014E-3"/>
    <x v="0"/>
  </r>
  <r>
    <x v="0"/>
    <x v="0"/>
    <x v="0"/>
    <s v="Mobile"/>
    <s v="Display"/>
    <n v="0"/>
    <n v="1587"/>
    <n v="58"/>
    <n v="3350.29"/>
    <n v="53324.95"/>
    <n v="0"/>
    <n v="0"/>
    <n v="0"/>
    <n v="0"/>
    <n v="0"/>
    <n v="2.1110838059231254"/>
    <n v="3.6546943919344675E-2"/>
    <n v="14.916517674589363"/>
    <n v="0"/>
    <x v="0"/>
  </r>
  <r>
    <x v="0"/>
    <x v="1"/>
    <x v="1"/>
    <s v="Desktop"/>
    <s v="SearchAd"/>
    <n v="51501"/>
    <n v="1796"/>
    <n v="66"/>
    <n v="3342.26"/>
    <n v="41326.99"/>
    <n v="0"/>
    <n v="0"/>
    <n v="0"/>
    <n v="64.89699229141182"/>
    <n v="3.4873109260014371E-2"/>
    <n v="1.8609465478841871"/>
    <n v="3.6748329621380846E-2"/>
    <n v="11.364983573988855"/>
    <n v="0"/>
    <x v="0"/>
  </r>
  <r>
    <x v="1"/>
    <x v="3"/>
    <x v="1"/>
    <s v="Mobile"/>
    <s v="Video"/>
    <n v="67338"/>
    <n v="732"/>
    <n v="7"/>
    <n v="3330.45"/>
    <n v="5878.63"/>
    <n v="325"/>
    <n v="33"/>
    <n v="28"/>
    <n v="49.458700882117078"/>
    <n v="1.087053372538537E-2"/>
    <n v="4.5497950819672131"/>
    <n v="9.562841530054645E-3"/>
    <n v="0.7651158251887884"/>
    <n v="5.7322759808726125E-3"/>
    <x v="0"/>
  </r>
  <r>
    <x v="0"/>
    <x v="3"/>
    <x v="1"/>
    <s v="Desktop"/>
    <s v="Display"/>
    <n v="0"/>
    <n v="560"/>
    <n v="21"/>
    <n v="3324.11"/>
    <n v="17009.11"/>
    <n v="0"/>
    <n v="0"/>
    <n v="0"/>
    <n v="0"/>
    <n v="0"/>
    <n v="5.9359107142857148"/>
    <n v="3.7499999999999999E-2"/>
    <n v="4.1168914386106357"/>
    <n v="0"/>
    <x v="0"/>
  </r>
  <r>
    <x v="0"/>
    <x v="2"/>
    <x v="1"/>
    <s v="Desktop"/>
    <s v="SearchAd"/>
    <n v="0"/>
    <n v="1931"/>
    <n v="96"/>
    <n v="3323.21"/>
    <n v="120699.46"/>
    <n v="0"/>
    <n v="0"/>
    <n v="0"/>
    <n v="0"/>
    <n v="0"/>
    <n v="1.7209787674779906"/>
    <n v="4.9715173485240807E-2"/>
    <n v="35.320142272080311"/>
    <n v="0"/>
    <x v="0"/>
  </r>
  <r>
    <x v="3"/>
    <x v="0"/>
    <x v="1"/>
    <s v="Desktop"/>
    <s v="Video"/>
    <n v="14874"/>
    <n v="207"/>
    <n v="5"/>
    <n v="3305.47"/>
    <n v="6643.53"/>
    <n v="77"/>
    <n v="4"/>
    <n v="3"/>
    <n v="222.2314105149926"/>
    <n v="1.3916901976603469E-2"/>
    <n v="15.968454106280193"/>
    <n v="2.4154589371980676E-2"/>
    <n v="1.0098594148487205"/>
    <n v="5.647438483259379E-3"/>
    <x v="0"/>
  </r>
  <r>
    <x v="3"/>
    <x v="1"/>
    <x v="2"/>
    <s v="Mobile"/>
    <s v="Carousel"/>
    <n v="48460"/>
    <n v="971"/>
    <n v="16"/>
    <n v="3296.56"/>
    <n v="20370.43"/>
    <n v="359"/>
    <n v="26"/>
    <n v="13"/>
    <n v="68.026413536937682"/>
    <n v="2.0037144036318615E-2"/>
    <n v="3.3950154479917609"/>
    <n v="1.6477857878475798E-2"/>
    <n v="5.1792990268643671"/>
    <n v="8.212959141560049E-3"/>
    <x v="0"/>
  </r>
  <r>
    <x v="0"/>
    <x v="2"/>
    <x v="0"/>
    <s v="Desktop"/>
    <s v="Display"/>
    <n v="31731"/>
    <n v="771"/>
    <n v="28"/>
    <n v="3288.24"/>
    <n v="20961.150000000001"/>
    <n v="0"/>
    <n v="0"/>
    <n v="0"/>
    <n v="103.62862815543158"/>
    <n v="2.4298005105417415E-2"/>
    <n v="4.2649027237354087"/>
    <n v="3.6316472114137487E-2"/>
    <n v="5.3745803226041913"/>
    <n v="0"/>
    <x v="0"/>
  </r>
  <r>
    <x v="0"/>
    <x v="0"/>
    <x v="4"/>
    <s v="Mobile"/>
    <s v="SearchAd"/>
    <n v="29825"/>
    <n v="1024"/>
    <n v="24"/>
    <n v="3244.37"/>
    <n v="33244.58"/>
    <n v="0"/>
    <n v="0"/>
    <n v="0"/>
    <n v="108.78021793797149"/>
    <n v="3.4333612740989103E-2"/>
    <n v="3.1683300781249999"/>
    <n v="2.34375E-2"/>
    <n v="9.246852239417823"/>
    <n v="0"/>
    <x v="0"/>
  </r>
  <r>
    <x v="0"/>
    <x v="2"/>
    <x v="2"/>
    <s v="Mobile"/>
    <s v="SearchAd"/>
    <n v="50792"/>
    <n v="1592"/>
    <n v="13"/>
    <n v="3209.91"/>
    <n v="9231.99"/>
    <n v="0"/>
    <n v="0"/>
    <n v="0"/>
    <n v="63.197157032603563"/>
    <n v="3.1343518664356591E-2"/>
    <n v="2.0162751256281406"/>
    <n v="8.1658291457286439E-3"/>
    <n v="1.8760899838313225"/>
    <n v="0"/>
    <x v="0"/>
  </r>
  <r>
    <x v="1"/>
    <x v="3"/>
    <x v="2"/>
    <s v="Mobile"/>
    <s v="Video"/>
    <n v="63592"/>
    <n v="406"/>
    <n v="5"/>
    <n v="3171.18"/>
    <n v="6599.48"/>
    <n v="137"/>
    <n v="10"/>
    <n v="8"/>
    <n v="49.867593407975839"/>
    <n v="6.3844508743238146E-3"/>
    <n v="7.8107881773399015"/>
    <n v="1.2315270935960592E-2"/>
    <n v="1.0810802288107266"/>
    <n v="2.4374135111334761E-3"/>
    <x v="0"/>
  </r>
  <r>
    <x v="1"/>
    <x v="1"/>
    <x v="2"/>
    <s v="Mobile"/>
    <s v="Video"/>
    <n v="32131"/>
    <n v="232"/>
    <n v="4"/>
    <n v="3163.26"/>
    <n v="5423.32"/>
    <n v="73"/>
    <n v="5"/>
    <n v="3"/>
    <n v="98.448850020229699"/>
    <n v="7.2204413183529926E-3"/>
    <n v="13.634741379310345"/>
    <n v="1.7241379310344827E-2"/>
    <n v="0.71447177911395188"/>
    <n v="2.5209299430456566E-3"/>
    <x v="0"/>
  </r>
  <r>
    <x v="1"/>
    <x v="0"/>
    <x v="1"/>
    <s v="Desktop"/>
    <s v="Video"/>
    <n v="59231"/>
    <n v="484"/>
    <n v="9"/>
    <n v="3155.79"/>
    <n v="7634.97"/>
    <n v="223"/>
    <n v="18"/>
    <n v="13"/>
    <n v="53.279363846634361"/>
    <n v="8.1713967348179158E-3"/>
    <n v="6.520227272727273"/>
    <n v="1.859504132231405E-2"/>
    <n v="1.4193529987736828"/>
    <n v="4.2882949806689061E-3"/>
    <x v="0"/>
  </r>
  <r>
    <x v="1"/>
    <x v="3"/>
    <x v="2"/>
    <s v="Desktop"/>
    <s v="Video"/>
    <n v="45101"/>
    <n v="500"/>
    <n v="6"/>
    <n v="3147.47"/>
    <n v="8354.3799999999992"/>
    <n v="223"/>
    <n v="10"/>
    <n v="14"/>
    <n v="69.787144409214861"/>
    <n v="1.108622868672535E-2"/>
    <n v="6.2949399999999995"/>
    <n v="1.2E-2"/>
    <n v="1.654316006189098"/>
    <n v="5.4765969712423229E-3"/>
    <x v="0"/>
  </r>
  <r>
    <x v="2"/>
    <x v="2"/>
    <x v="4"/>
    <s v="Desktop"/>
    <s v="Carousel"/>
    <n v="75520"/>
    <n v="650"/>
    <n v="0"/>
    <n v="3114.36"/>
    <n v="7296.77"/>
    <n v="218"/>
    <n v="36"/>
    <n v="13"/>
    <n v="41.238877118644069"/>
    <n v="8.6069915254237284E-3"/>
    <n v="4.791323076923077"/>
    <n v="0"/>
    <n v="1.3429436545550288"/>
    <n v="3.5354872881355934E-3"/>
    <x v="0"/>
  </r>
  <r>
    <x v="3"/>
    <x v="2"/>
    <x v="3"/>
    <s v="Desktop"/>
    <s v="Image"/>
    <n v="78336"/>
    <n v="991"/>
    <n v="15"/>
    <n v="3113.19"/>
    <n v="8241.35"/>
    <n v="306"/>
    <n v="23"/>
    <n v="14"/>
    <n v="39.741498161764703"/>
    <n v="1.2650633169934641E-2"/>
    <n v="3.1414631685166499"/>
    <n v="1.5136226034308779E-2"/>
    <n v="1.6472364359386995"/>
    <n v="4.3785743464052288E-3"/>
    <x v="0"/>
  </r>
  <r>
    <x v="3"/>
    <x v="2"/>
    <x v="4"/>
    <s v="Mobile"/>
    <s v="Carousel"/>
    <n v="57210"/>
    <n v="1325"/>
    <n v="22"/>
    <n v="3025.61"/>
    <n v="13139.99"/>
    <n v="474"/>
    <n v="64"/>
    <n v="35"/>
    <n v="52.886033910155568"/>
    <n v="2.3160286663170774E-2"/>
    <n v="2.283479245283019"/>
    <n v="1.6603773584905661E-2"/>
    <n v="3.3429225842061596"/>
    <n v="1.0015731515469323E-2"/>
    <x v="0"/>
  </r>
  <r>
    <x v="0"/>
    <x v="1"/>
    <x v="4"/>
    <s v="Mobile"/>
    <s v="Display"/>
    <n v="66694"/>
    <n v="1247"/>
    <n v="36"/>
    <n v="2966.25"/>
    <n v="19105.2"/>
    <n v="0"/>
    <n v="0"/>
    <n v="0"/>
    <n v="44.475515038834075"/>
    <n v="1.8697334093021861E-2"/>
    <n v="2.3787089013632721"/>
    <n v="2.8869286287089013E-2"/>
    <n v="5.4408596713021495"/>
    <n v="0"/>
    <x v="0"/>
  </r>
  <r>
    <x v="0"/>
    <x v="2"/>
    <x v="0"/>
    <s v="Mobile"/>
    <s v="SearchAd"/>
    <n v="71371"/>
    <n v="1508"/>
    <n v="55"/>
    <n v="2924.39"/>
    <n v="33928.370000000003"/>
    <n v="0"/>
    <n v="0"/>
    <n v="0"/>
    <n v="40.974485435260817"/>
    <n v="2.1129029998178533E-2"/>
    <n v="1.9392506631299733"/>
    <n v="3.6472148541114059E-2"/>
    <n v="10.60186226871245"/>
    <n v="0"/>
    <x v="0"/>
  </r>
  <r>
    <x v="3"/>
    <x v="2"/>
    <x v="2"/>
    <s v="Mobile"/>
    <s v="Video"/>
    <n v="62355"/>
    <n v="526"/>
    <n v="17"/>
    <n v="2909.88"/>
    <n v="9554.51"/>
    <n v="232"/>
    <n v="26"/>
    <n v="19"/>
    <n v="46.666345922540295"/>
    <n v="8.4355705236147868E-3"/>
    <n v="5.532091254752852"/>
    <n v="3.2319391634980987E-2"/>
    <n v="2.2834721706737047"/>
    <n v="4.4423061502686231E-3"/>
    <x v="0"/>
  </r>
  <r>
    <x v="2"/>
    <x v="2"/>
    <x v="0"/>
    <s v="Desktop"/>
    <s v="Image"/>
    <n v="50251"/>
    <n v="343"/>
    <n v="9"/>
    <n v="2897.4"/>
    <n v="11379.01"/>
    <n v="160"/>
    <n v="12"/>
    <n v="10"/>
    <n v="57.658554058625704"/>
    <n v="6.825734811247537E-3"/>
    <n v="8.4472303206997079"/>
    <n v="2.6239067055393587E-2"/>
    <n v="2.927317595085249"/>
    <n v="3.6218184712742034E-3"/>
    <x v="0"/>
  </r>
  <r>
    <x v="2"/>
    <x v="1"/>
    <x v="2"/>
    <s v="Desktop"/>
    <s v="Carousel"/>
    <n v="57262"/>
    <n v="254"/>
    <n v="5"/>
    <n v="2862.56"/>
    <n v="7232.21"/>
    <n v="101"/>
    <n v="12"/>
    <n v="10"/>
    <n v="49.990569662254202"/>
    <n v="4.4357514582096325E-3"/>
    <n v="11.269921259842519"/>
    <n v="1.968503937007874E-2"/>
    <n v="1.5264832876865462"/>
    <n v="2.1480213754322239E-3"/>
    <x v="0"/>
  </r>
  <r>
    <x v="0"/>
    <x v="0"/>
    <x v="2"/>
    <s v="Mobile"/>
    <s v="Display"/>
    <n v="67581"/>
    <n v="0"/>
    <n v="74"/>
    <n v="2797.72"/>
    <n v="60764.51"/>
    <n v="0"/>
    <n v="0"/>
    <n v="0"/>
    <n v="41.398026072416798"/>
    <n v="0"/>
    <n v="0"/>
    <n v="0"/>
    <n v="20.719296427090633"/>
    <n v="0"/>
    <x v="0"/>
  </r>
  <r>
    <x v="1"/>
    <x v="0"/>
    <x v="1"/>
    <s v="Mobile"/>
    <s v="Video"/>
    <n v="20231"/>
    <n v="230"/>
    <n v="3"/>
    <n v="2770.22"/>
    <n v="3851.67"/>
    <n v="81"/>
    <n v="11"/>
    <n v="8"/>
    <n v="136.92946468291234"/>
    <n v="1.1368691611882755E-2"/>
    <n v="12.044434782608695"/>
    <n v="1.3043478260869565E-2"/>
    <n v="0.39038415721495057"/>
    <n v="4.942909396470763E-3"/>
    <x v="0"/>
  </r>
  <r>
    <x v="2"/>
    <x v="1"/>
    <x v="3"/>
    <s v="Desktop"/>
    <s v="Image"/>
    <n v="31163"/>
    <n v="290"/>
    <n v="10"/>
    <n v="2684.43"/>
    <n v="13804.62"/>
    <n v="143"/>
    <n v="7"/>
    <n v="8"/>
    <n v="86.141578153579559"/>
    <n v="9.3059076468889387E-3"/>
    <n v="9.256655172413792"/>
    <n v="3.4482758620689655E-2"/>
    <n v="4.1424771739251911"/>
    <n v="5.070115200718801E-3"/>
    <x v="0"/>
  </r>
  <r>
    <x v="3"/>
    <x v="3"/>
    <x v="0"/>
    <s v="Mobile"/>
    <s v="Image"/>
    <n v="24288"/>
    <n v="326"/>
    <n v="9"/>
    <n v="2662.8"/>
    <n v="13388.18"/>
    <n v="144"/>
    <n v="18"/>
    <n v="6"/>
    <n v="109.63438735177866"/>
    <n v="1.3422266139657444E-2"/>
    <n v="8.1680981595092028"/>
    <n v="2.7607361963190184E-2"/>
    <n v="4.027857893946222"/>
    <n v="6.91699604743083E-3"/>
    <x v="0"/>
  </r>
  <r>
    <x v="0"/>
    <x v="2"/>
    <x v="1"/>
    <s v="Desktop"/>
    <s v="Display"/>
    <n v="68670"/>
    <n v="1689"/>
    <n v="0"/>
    <n v="2662.61"/>
    <n v="43768.92"/>
    <n v="0"/>
    <n v="0"/>
    <n v="0"/>
    <n v="38.773991553808067"/>
    <n v="2.4595893403232854E-2"/>
    <n v="1.5764416814683244"/>
    <n v="0"/>
    <n v="15.438351842740769"/>
    <n v="0"/>
    <x v="0"/>
  </r>
  <r>
    <x v="0"/>
    <x v="2"/>
    <x v="3"/>
    <s v="Desktop"/>
    <s v="Display"/>
    <n v="18518"/>
    <n v="465"/>
    <n v="17"/>
    <n v="2654.22"/>
    <n v="15029.95"/>
    <n v="0"/>
    <n v="0"/>
    <n v="0"/>
    <n v="143.33189329301217"/>
    <n v="2.5110703099686792E-2"/>
    <n v="5.7079999999999993"/>
    <n v="3.6559139784946237E-2"/>
    <n v="4.66266172359488"/>
    <n v="0"/>
    <x v="0"/>
  </r>
  <r>
    <x v="0"/>
    <x v="3"/>
    <x v="3"/>
    <s v="Desktop"/>
    <s v="SearchAd"/>
    <n v="69985"/>
    <n v="2959"/>
    <n v="104"/>
    <n v="2649.93"/>
    <n v="52550.21"/>
    <n v="0"/>
    <n v="0"/>
    <n v="0"/>
    <n v="37.864256626419944"/>
    <n v="4.2280488676144888E-2"/>
    <n v="0.89554917201757345"/>
    <n v="3.5147009124704295E-2"/>
    <n v="18.830791756763386"/>
    <n v="0"/>
    <x v="0"/>
  </r>
  <r>
    <x v="3"/>
    <x v="3"/>
    <x v="3"/>
    <s v="Mobile"/>
    <s v="Video"/>
    <n v="14708"/>
    <n v="206"/>
    <n v="5"/>
    <n v="2631.13"/>
    <n v="3492.09"/>
    <n v="100"/>
    <n v="9"/>
    <n v="6"/>
    <n v="178.89107968452544"/>
    <n v="1.4005983138428066E-2"/>
    <n v="12.77247572815534"/>
    <n v="2.4271844660194174E-2"/>
    <n v="0.32722062383842682"/>
    <n v="7.8188740821321726E-3"/>
    <x v="0"/>
  </r>
  <r>
    <x v="3"/>
    <x v="2"/>
    <x v="0"/>
    <s v="Desktop"/>
    <s v="Carousel"/>
    <n v="46121"/>
    <n v="755"/>
    <n v="12"/>
    <n v="2599.16"/>
    <n v="13023.01"/>
    <n v="283"/>
    <n v="38"/>
    <n v="11"/>
    <n v="56.355239478762385"/>
    <n v="1.636998330478524E-2"/>
    <n v="3.4425960264900661"/>
    <n v="1.5894039735099338E-2"/>
    <n v="4.0104687668323615"/>
    <n v="7.1984562346870187E-3"/>
    <x v="0"/>
  </r>
  <r>
    <x v="3"/>
    <x v="2"/>
    <x v="3"/>
    <s v="Desktop"/>
    <s v="Image"/>
    <n v="17196"/>
    <n v="0"/>
    <n v="5"/>
    <n v="2515.4"/>
    <n v="3888.19"/>
    <n v="120"/>
    <n v="7"/>
    <n v="6"/>
    <n v="146.27820423354268"/>
    <n v="0"/>
    <n v="0"/>
    <n v="0"/>
    <n v="0.54575415440884145"/>
    <n v="7.7343568271691088E-3"/>
    <x v="0"/>
  </r>
  <r>
    <x v="0"/>
    <x v="0"/>
    <x v="3"/>
    <s v="Mobile"/>
    <s v="SearchAd"/>
    <n v="10478"/>
    <n v="328"/>
    <n v="13"/>
    <n v="2481.85"/>
    <n v="12731.37"/>
    <n v="0"/>
    <n v="0"/>
    <n v="0"/>
    <n v="236.86295094483677"/>
    <n v="3.1303683909142968E-2"/>
    <n v="7.5666158536585364"/>
    <n v="3.9634146341463415E-2"/>
    <n v="4.1297902774140258"/>
    <n v="0"/>
    <x v="0"/>
  </r>
  <r>
    <x v="0"/>
    <x v="1"/>
    <x v="1"/>
    <s v="Mobile"/>
    <s v="Display"/>
    <n v="41801"/>
    <n v="1694"/>
    <n v="55"/>
    <n v="2476.6799999999998"/>
    <n v="0"/>
    <n v="0"/>
    <n v="0"/>
    <n v="0"/>
    <n v="59.249300255974731"/>
    <n v="4.0525346283581731E-2"/>
    <n v="1.4620306965761509"/>
    <n v="3.2467532467532464E-2"/>
    <n v="-1"/>
    <n v="0"/>
    <x v="0"/>
  </r>
  <r>
    <x v="0"/>
    <x v="3"/>
    <x v="4"/>
    <s v="Mobile"/>
    <s v="Display"/>
    <n v="74635"/>
    <n v="2138"/>
    <n v="90"/>
    <n v="2471.5100000000002"/>
    <n v="87129.95"/>
    <n v="0"/>
    <n v="0"/>
    <n v="0"/>
    <n v="33.114624505928859"/>
    <n v="2.8646077577544046E-2"/>
    <n v="1.1559915809167447"/>
    <n v="4.2095416276894296E-2"/>
    <n v="34.253731524452661"/>
    <n v="0"/>
    <x v="0"/>
  </r>
  <r>
    <x v="3"/>
    <x v="2"/>
    <x v="1"/>
    <s v="Desktop"/>
    <s v="Video"/>
    <n v="24667"/>
    <n v="305"/>
    <n v="11"/>
    <n v="2447.6799999999998"/>
    <n v="15808.85"/>
    <n v="120"/>
    <n v="11"/>
    <n v="9"/>
    <n v="99.22892933879271"/>
    <n v="1.2364697774354401E-2"/>
    <n v="8.0251803278688527"/>
    <n v="3.6065573770491806E-2"/>
    <n v="5.458707837625834"/>
    <n v="5.6755989783921837E-3"/>
    <x v="0"/>
  </r>
  <r>
    <x v="2"/>
    <x v="3"/>
    <x v="4"/>
    <s v="Mobile"/>
    <s v="Video"/>
    <n v="72628"/>
    <n v="834"/>
    <n v="19"/>
    <n v="2430.02"/>
    <n v="17330.54"/>
    <n v="256"/>
    <n v="19"/>
    <n v="10"/>
    <n v="33.458445778487636"/>
    <n v="1.1483174533237869E-2"/>
    <n v="2.9136930455635492"/>
    <n v="2.2781774580335732E-2"/>
    <n v="6.1318507666603566"/>
    <n v="3.9241064052431569E-3"/>
    <x v="0"/>
  </r>
  <r>
    <x v="0"/>
    <x v="3"/>
    <x v="2"/>
    <s v="Desktop"/>
    <s v="Display"/>
    <n v="72330"/>
    <n v="2114"/>
    <n v="106"/>
    <n v="2374.2800000000002"/>
    <n v="82041.05"/>
    <n v="0"/>
    <n v="0"/>
    <n v="0"/>
    <n v="32.825660168671369"/>
    <n v="2.922715332503802E-2"/>
    <n v="1.1231220435193947"/>
    <n v="5.0141911069063384E-2"/>
    <n v="33.554075340734876"/>
    <n v="0"/>
    <x v="0"/>
  </r>
  <r>
    <x v="1"/>
    <x v="3"/>
    <x v="4"/>
    <s v="Desktop"/>
    <s v="Other"/>
    <n v="20835"/>
    <n v="191"/>
    <n v="3"/>
    <n v="2330.11"/>
    <n v="4416.41"/>
    <n v="95"/>
    <n v="8"/>
    <n v="7"/>
    <n v="111.83633309335255"/>
    <n v="9.1672666186705058E-3"/>
    <n v="12.199528795811519"/>
    <n v="1.5706806282722512E-2"/>
    <n v="0.89536545484977093"/>
    <n v="5.2795776337892968E-3"/>
    <x v="0"/>
  </r>
  <r>
    <x v="3"/>
    <x v="1"/>
    <x v="0"/>
    <s v="Desktop"/>
    <s v="Video"/>
    <n v="60656"/>
    <n v="808"/>
    <n v="0"/>
    <n v="2282.23"/>
    <n v="0"/>
    <n v="386"/>
    <n v="20"/>
    <n v="20"/>
    <n v="37.625791347929308"/>
    <n v="1.3321023476655236E-2"/>
    <n v="2.8245420792079208"/>
    <n v="0"/>
    <n v="-1"/>
    <n v="7.0232128725929831E-3"/>
    <x v="0"/>
  </r>
  <r>
    <x v="0"/>
    <x v="2"/>
    <x v="4"/>
    <s v="Desktop"/>
    <s v="SearchAd"/>
    <n v="0"/>
    <n v="3058"/>
    <n v="0"/>
    <n v="2265.73"/>
    <n v="128074.98"/>
    <n v="0"/>
    <n v="0"/>
    <n v="0"/>
    <n v="0"/>
    <n v="0"/>
    <n v="0.74091890124264226"/>
    <n v="0"/>
    <n v="55.527026609525407"/>
    <n v="0"/>
    <x v="0"/>
  </r>
  <r>
    <x v="1"/>
    <x v="1"/>
    <x v="2"/>
    <s v="Mobile"/>
    <s v="Video"/>
    <n v="14312"/>
    <n v="141"/>
    <n v="2"/>
    <n v="2262.9"/>
    <n v="0"/>
    <n v="58"/>
    <n v="4"/>
    <n v="2"/>
    <n v="158.112073784237"/>
    <n v="9.8518725544997198E-3"/>
    <n v="16.048936170212766"/>
    <n v="1.4184397163120567E-2"/>
    <n v="-1"/>
    <n v="4.4717719396310789E-3"/>
    <x v="0"/>
  </r>
  <r>
    <x v="2"/>
    <x v="1"/>
    <x v="4"/>
    <s v="Mobile"/>
    <s v="Video"/>
    <n v="49372"/>
    <n v="376"/>
    <n v="7"/>
    <n v="2247.1"/>
    <n v="8311.73"/>
    <n v="128"/>
    <n v="19"/>
    <n v="6"/>
    <n v="45.513651462367335"/>
    <n v="7.6156525966134649E-3"/>
    <n v="5.9763297872340422"/>
    <n v="1.8617021276595744E-2"/>
    <n v="2.6988696542209958"/>
    <n v="3.0989224661751602E-3"/>
    <x v="0"/>
  </r>
  <r>
    <x v="0"/>
    <x v="2"/>
    <x v="0"/>
    <s v="Mobile"/>
    <s v="SearchAd"/>
    <n v="23071"/>
    <n v="582"/>
    <n v="0"/>
    <n v="2237.3200000000002"/>
    <n v="20335.84"/>
    <n v="0"/>
    <n v="0"/>
    <n v="0"/>
    <n v="96.97542369208098"/>
    <n v="2.5226474795197434E-2"/>
    <n v="3.8441924398625433"/>
    <n v="0"/>
    <n v="8.0893747876924174"/>
    <n v="0"/>
    <x v="0"/>
  </r>
  <r>
    <x v="1"/>
    <x v="3"/>
    <x v="0"/>
    <s v="Mobile"/>
    <s v="Video"/>
    <n v="21230"/>
    <n v="83"/>
    <n v="2"/>
    <n v="2199.36"/>
    <n v="1703.98"/>
    <n v="37"/>
    <n v="3"/>
    <n v="2"/>
    <n v="103.59679698539803"/>
    <n v="3.9095619406500238E-3"/>
    <n v="26.49831325301205"/>
    <n v="2.4096385542168676E-2"/>
    <n v="-0.22523825112760079"/>
    <n v="1.9783325482807348E-3"/>
    <x v="0"/>
  </r>
  <r>
    <x v="0"/>
    <x v="0"/>
    <x v="0"/>
    <s v="Desktop"/>
    <s v="SearchAd"/>
    <n v="13724"/>
    <n v="254"/>
    <n v="3"/>
    <n v="2179.9"/>
    <n v="2716.21"/>
    <n v="0"/>
    <n v="0"/>
    <n v="0"/>
    <n v="158.83853104051298"/>
    <n v="1.8507723695715534E-2"/>
    <n v="8.5822834645669293"/>
    <n v="1.1811023622047244E-2"/>
    <n v="0.24602504702050548"/>
    <n v="0"/>
    <x v="0"/>
  </r>
  <r>
    <x v="1"/>
    <x v="0"/>
    <x v="0"/>
    <s v="Desktop"/>
    <s v="Video"/>
    <n v="0"/>
    <n v="297"/>
    <n v="3"/>
    <n v="2173.4299999999998"/>
    <n v="3846.36"/>
    <n v="114"/>
    <n v="16"/>
    <n v="5"/>
    <n v="0"/>
    <n v="0"/>
    <n v="7.3179461279461275"/>
    <n v="1.0101010101010102E-2"/>
    <n v="0.76971883152436493"/>
    <n v="0"/>
    <x v="0"/>
  </r>
  <r>
    <x v="2"/>
    <x v="3"/>
    <x v="2"/>
    <s v="Desktop"/>
    <s v="Video"/>
    <n v="78107"/>
    <n v="587"/>
    <n v="8"/>
    <n v="2142.12"/>
    <n v="11911.26"/>
    <n v="281"/>
    <n v="25"/>
    <n v="18"/>
    <n v="27.425454824791629"/>
    <n v="7.5153315323850615E-3"/>
    <n v="3.6492674616695058"/>
    <n v="1.3628620102214651E-2"/>
    <n v="4.5605008122794244"/>
    <n v="4.1481557350813627E-3"/>
    <x v="0"/>
  </r>
  <r>
    <x v="3"/>
    <x v="0"/>
    <x v="1"/>
    <s v="Desktop"/>
    <s v="Image"/>
    <n v="24254"/>
    <n v="345"/>
    <n v="9"/>
    <n v="2104.02"/>
    <n v="11625.81"/>
    <n v="142"/>
    <n v="19"/>
    <n v="9"/>
    <n v="86.749402160468378"/>
    <n v="1.4224457821390287E-2"/>
    <n v="6.0986086956521737"/>
    <n v="2.6086956521739129E-2"/>
    <n v="4.5255225710782216"/>
    <n v="7.0091531293807203E-3"/>
    <x v="0"/>
  </r>
  <r>
    <x v="2"/>
    <x v="1"/>
    <x v="1"/>
    <s v="Desktop"/>
    <s v="Image"/>
    <n v="26532"/>
    <n v="77"/>
    <n v="1"/>
    <n v="2102.48"/>
    <n v="1092.45"/>
    <n v="35"/>
    <n v="4"/>
    <n v="2"/>
    <n v="79.243178049148199"/>
    <n v="2.9021558872305139E-3"/>
    <n v="27.304935064935066"/>
    <n v="1.2987012987012988E-2"/>
    <n v="-0.48039933792473649"/>
    <n v="1.5453037841097542E-3"/>
    <x v="0"/>
  </r>
  <r>
    <x v="3"/>
    <x v="1"/>
    <x v="1"/>
    <s v="Desktop"/>
    <s v="Carousel"/>
    <n v="0"/>
    <n v="1075"/>
    <n v="20"/>
    <n v="2086.5300000000002"/>
    <n v="26272.43"/>
    <n v="443"/>
    <n v="47"/>
    <n v="17"/>
    <n v="0"/>
    <n v="0"/>
    <n v="1.9409581395348838"/>
    <n v="1.8604651162790697E-2"/>
    <n v="11.59144608512698"/>
    <n v="0"/>
    <x v="0"/>
  </r>
  <r>
    <x v="3"/>
    <x v="2"/>
    <x v="0"/>
    <s v="Mobile"/>
    <s v="Video"/>
    <n v="71719"/>
    <n v="1659"/>
    <n v="47"/>
    <n v="2065.85"/>
    <n v="38809.42"/>
    <n v="780"/>
    <n v="78"/>
    <n v="25"/>
    <n v="28.804779765473583"/>
    <n v="2.3131945509558136E-2"/>
    <n v="1.2452380952380953"/>
    <n v="2.8330319469559977E-2"/>
    <n v="17.786175182128421"/>
    <n v="1.2311939653369399E-2"/>
    <x v="0"/>
  </r>
  <r>
    <x v="2"/>
    <x v="1"/>
    <x v="1"/>
    <s v="Mobile"/>
    <s v="Carousel"/>
    <n v="74227"/>
    <n v="843"/>
    <n v="15"/>
    <n v="2055.4499999999998"/>
    <n v="0"/>
    <n v="370"/>
    <n v="48"/>
    <n v="29"/>
    <n v="27.691406092122811"/>
    <n v="1.1357053363331402E-2"/>
    <n v="2.4382562277580071"/>
    <n v="1.7793594306049824E-2"/>
    <n v="-1"/>
    <n v="6.0220674417664731E-3"/>
    <x v="0"/>
  </r>
  <r>
    <x v="2"/>
    <x v="3"/>
    <x v="4"/>
    <s v="Desktop"/>
    <s v="Video"/>
    <n v="43987"/>
    <n v="346"/>
    <n v="0"/>
    <n v="2036.77"/>
    <n v="5045.58"/>
    <n v="134"/>
    <n v="8"/>
    <n v="13"/>
    <n v="46.303907972810151"/>
    <n v="7.8659603973901381E-3"/>
    <n v="5.8866184971098265"/>
    <n v="0"/>
    <n v="1.4772458353176843"/>
    <n v="3.5237683861140791E-3"/>
    <x v="0"/>
  </r>
  <r>
    <x v="0"/>
    <x v="2"/>
    <x v="0"/>
    <s v="Desktop"/>
    <s v="Display"/>
    <n v="77437"/>
    <n v="2357"/>
    <n v="73"/>
    <n v="0"/>
    <n v="105055.66"/>
    <n v="0"/>
    <n v="0"/>
    <n v="0"/>
    <n v="0"/>
    <n v="3.0437646086496118E-2"/>
    <n v="0"/>
    <n v="3.0971574034789989E-2"/>
    <n v="0"/>
    <n v="0"/>
    <x v="0"/>
  </r>
  <r>
    <x v="0"/>
    <x v="2"/>
    <x v="0"/>
    <s v="Mobile"/>
    <s v="SearchAd"/>
    <n v="75475"/>
    <n v="2162"/>
    <n v="73"/>
    <n v="0"/>
    <n v="93407.32"/>
    <n v="0"/>
    <n v="0"/>
    <n v="0"/>
    <n v="0"/>
    <n v="2.8645246770453794E-2"/>
    <n v="0"/>
    <n v="3.3765032377428304E-2"/>
    <n v="0"/>
    <n v="0"/>
    <x v="0"/>
  </r>
  <r>
    <x v="0"/>
    <x v="2"/>
    <x v="3"/>
    <s v="Desktop"/>
    <s v="SearchAd"/>
    <n v="59889"/>
    <n v="2233"/>
    <n v="46"/>
    <n v="0"/>
    <n v="60964.82"/>
    <n v="0"/>
    <n v="0"/>
    <n v="0"/>
    <n v="0"/>
    <n v="3.7285645110120391E-2"/>
    <n v="0"/>
    <n v="2.0600089565606806E-2"/>
    <n v="0"/>
    <n v="0"/>
    <x v="0"/>
  </r>
  <r>
    <x v="3"/>
    <x v="1"/>
    <x v="4"/>
    <s v="Desktop"/>
    <s v="Video"/>
    <n v="79743"/>
    <n v="1577"/>
    <n v="53"/>
    <n v="0"/>
    <n v="47934.32"/>
    <n v="512"/>
    <n v="84"/>
    <n v="23"/>
    <n v="0"/>
    <n v="1.9776030497974745E-2"/>
    <n v="0"/>
    <n v="3.3608116677235254E-2"/>
    <n v="0"/>
    <n v="7.7624368283109486E-3"/>
    <x v="0"/>
  </r>
  <r>
    <x v="0"/>
    <x v="1"/>
    <x v="1"/>
    <s v="Desktop"/>
    <s v="Display"/>
    <n v="31618"/>
    <n v="1000"/>
    <n v="34"/>
    <n v="0"/>
    <n v="31986.31"/>
    <n v="0"/>
    <n v="0"/>
    <n v="0"/>
    <n v="0"/>
    <n v="3.1627553924979443E-2"/>
    <n v="0"/>
    <n v="3.4000000000000002E-2"/>
    <n v="0"/>
    <n v="0"/>
    <x v="0"/>
  </r>
  <r>
    <x v="0"/>
    <x v="2"/>
    <x v="4"/>
    <s v="Mobile"/>
    <s v="SearchAd"/>
    <n v="15233"/>
    <n v="765"/>
    <n v="22"/>
    <n v="0"/>
    <n v="24057.87"/>
    <n v="0"/>
    <n v="0"/>
    <n v="0"/>
    <n v="0"/>
    <n v="5.0219917284842118E-2"/>
    <n v="0"/>
    <n v="2.8758169934640521E-2"/>
    <n v="0"/>
    <n v="0"/>
    <x v="0"/>
  </r>
  <r>
    <x v="1"/>
    <x v="1"/>
    <x v="1"/>
    <s v="Mobile"/>
    <s v="Video"/>
    <n v="78099"/>
    <n v="834"/>
    <n v="16"/>
    <n v="0"/>
    <n v="14584.74"/>
    <n v="357"/>
    <n v="29"/>
    <n v="13"/>
    <n v="0"/>
    <n v="1.0678753889294358E-2"/>
    <n v="0"/>
    <n v="1.9184652278177457E-2"/>
    <n v="0"/>
    <n v="5.1089002420005381E-3"/>
    <x v="0"/>
  </r>
  <r>
    <x v="3"/>
    <x v="3"/>
    <x v="4"/>
    <s v="Desktop"/>
    <s v="Carousel"/>
    <n v="28921"/>
    <n v="492"/>
    <n v="13"/>
    <n v="0"/>
    <n v="9171.7199999999993"/>
    <n v="170"/>
    <n v="27"/>
    <n v="19"/>
    <n v="0"/>
    <n v="1.7011859894194532E-2"/>
    <n v="0"/>
    <n v="2.6422764227642278E-2"/>
    <n v="0"/>
    <n v="7.4686214169634524E-3"/>
    <x v="0"/>
  </r>
  <r>
    <x v="2"/>
    <x v="3"/>
    <x v="1"/>
    <s v="Desktop"/>
    <s v="Image"/>
    <n v="67485"/>
    <n v="502"/>
    <n v="6"/>
    <n v="0"/>
    <n v="8533.4"/>
    <n v="243"/>
    <n v="21"/>
    <n v="13"/>
    <n v="0"/>
    <n v="7.4386900792768763E-3"/>
    <n v="0"/>
    <n v="1.1952191235059761E-2"/>
    <n v="0"/>
    <n v="4.104615840557161E-3"/>
    <x v="0"/>
  </r>
  <r>
    <x v="2"/>
    <x v="1"/>
    <x v="3"/>
    <s v="Desktop"/>
    <s v="Carousel"/>
    <n v="59710"/>
    <n v="526"/>
    <n v="14"/>
    <n v="0"/>
    <n v="8431.43"/>
    <n v="187"/>
    <n v="19"/>
    <n v="8"/>
    <n v="0"/>
    <n v="8.8092446826327254E-3"/>
    <n v="0"/>
    <n v="2.6615969581749048E-2"/>
    <n v="0"/>
    <n v="3.5839892815273822E-3"/>
    <x v="0"/>
  </r>
  <r>
    <x v="1"/>
    <x v="2"/>
    <x v="3"/>
    <s v="Mobile"/>
    <s v="Video"/>
    <n v="15530"/>
    <n v="185"/>
    <n v="0"/>
    <n v="0"/>
    <n v="3149.11"/>
    <n v="74"/>
    <n v="10"/>
    <n v="5"/>
    <n v="0"/>
    <n v="1.1912427559562138E-2"/>
    <n v="0"/>
    <n v="0"/>
    <n v="0"/>
    <n v="5.7308435286542178E-3"/>
    <x v="0"/>
  </r>
  <r>
    <x v="1"/>
    <x v="2"/>
    <x v="3"/>
    <s v="Desktop"/>
    <s v="Video"/>
    <n v="56996"/>
    <n v="420"/>
    <n v="5"/>
    <n v="0"/>
    <n v="2544.25"/>
    <n v="202"/>
    <n v="12"/>
    <n v="16"/>
    <n v="0"/>
    <n v="7.3689381710997266E-3"/>
    <n v="0"/>
    <n v="1.1904761904761904E-2"/>
    <n v="0"/>
    <n v="4.0353709032212789E-3"/>
    <x v="0"/>
  </r>
  <r>
    <x v="2"/>
    <x v="2"/>
    <x v="4"/>
    <s v="Desktop"/>
    <s v="Carousel"/>
    <n v="15801"/>
    <n v="147"/>
    <n v="2"/>
    <n v="0"/>
    <n v="2095.17"/>
    <n v="68"/>
    <n v="4"/>
    <n v="5"/>
    <n v="0"/>
    <n v="9.3032086576798935E-3"/>
    <n v="0"/>
    <n v="1.3605442176870748E-2"/>
    <n v="0"/>
    <n v="4.8731092968799447E-3"/>
    <x v="0"/>
  </r>
  <r>
    <x v="1"/>
    <x v="2"/>
    <x v="1"/>
    <s v="Mobile"/>
    <s v="Video"/>
    <n v="69194"/>
    <n v="684"/>
    <n v="9"/>
    <n v="0"/>
    <n v="0"/>
    <n v="300"/>
    <n v="19"/>
    <n v="20"/>
    <n v="0"/>
    <n v="9.8852501661993806E-3"/>
    <n v="0"/>
    <n v="1.3157894736842105E-2"/>
    <n v="0"/>
    <n v="4.899268722721623E-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807275-0AD4-410B-8342-421AB5E4E343}" name="PivotTable6" cacheId="698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73:B78" firstHeaderRow="1" firstDataRow="1" firstDataCol="1"/>
  <pivotFields count="20">
    <pivotField compact="0" outline="0" showAll="0"/>
    <pivotField compact="0" outline="0" showAll="0"/>
    <pivotField axis="axisRow" compact="0" outline="0" showAll="0" sortType="descending">
      <items count="7">
        <item x="2"/>
        <item x="0"/>
        <item x="1"/>
        <item x="4"/>
        <item h="1" x="5"/>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0" outline="0" showAll="0"/>
    <pivotField compact="0" numFmtId="165" outline="0" showAll="0"/>
    <pivotField compact="0" numFmtId="10" outline="0" showAll="0"/>
    <pivotField compact="0" numFmtId="9" outline="0" showAll="0"/>
    <pivotField compact="0" numFmtId="10" outline="0" showAll="0"/>
    <pivotField compact="0" outline="0" showAll="0"/>
  </pivotFields>
  <rowFields count="1">
    <field x="2"/>
  </rowFields>
  <rowItems count="5">
    <i>
      <x v="3"/>
    </i>
    <i>
      <x v="1"/>
    </i>
    <i>
      <x v="2"/>
    </i>
    <i>
      <x/>
    </i>
    <i>
      <x v="5"/>
    </i>
  </rowItems>
  <colItems count="1">
    <i/>
  </colItems>
  <dataFields count="1">
    <dataField name="Sum of conversion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A635FC-B100-4648-9BAD-3F2C7AC507E2}" name="PivotTable5" cacheId="698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0:B64" firstHeaderRow="1" firstDataRow="1" firstDataCol="1"/>
  <pivotFields count="20">
    <pivotField axis="axisRow" compact="0" outline="0"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0" outline="0" showAll="0"/>
    <pivotField compact="0" numFmtId="165" outline="0" showAll="0"/>
    <pivotField compact="0" numFmtId="10" outline="0" showAll="0"/>
    <pivotField compact="0" numFmtId="9" outline="0" showAll="0"/>
    <pivotField dataField="1" compact="0" numFmtId="10" outline="0" showAll="0"/>
    <pivotField compact="0" outline="0" showAll="0"/>
  </pivotFields>
  <rowFields count="1">
    <field x="0"/>
  </rowFields>
  <rowItems count="4">
    <i>
      <x v="2"/>
    </i>
    <i>
      <x v="3"/>
    </i>
    <i>
      <x v="1"/>
    </i>
    <i>
      <x/>
    </i>
  </rowItems>
  <colItems count="1">
    <i/>
  </colItems>
  <dataFields count="1">
    <dataField name="Average of Engagement_Rate" fld="18" subtotal="average" baseField="0" baseItem="0" numFmtId="1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1F96FE-F2F2-4F06-97C2-93274B2929FE}" name="PivotTable4" cacheId="698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7:B51" firstHeaderRow="1" firstDataRow="1" firstDataCol="1"/>
  <pivotFields count="20">
    <pivotField compact="0" outline="0" showAll="0"/>
    <pivotField axis="axisRow" compact="0" outline="0" showAll="0" sortType="descending">
      <items count="6">
        <item x="3"/>
        <item x="1"/>
        <item h="1" x="4"/>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0" outline="0" showAll="0"/>
    <pivotField compact="0" numFmtId="165" outline="0" showAll="0"/>
    <pivotField dataField="1" compact="0" numFmtId="10" outline="0" showAll="0"/>
    <pivotField compact="0" numFmtId="9" outline="0" showAll="0"/>
    <pivotField compact="0" numFmtId="10" outline="0" showAll="0"/>
    <pivotField compact="0" outline="0" showAll="0"/>
  </pivotFields>
  <rowFields count="1">
    <field x="1"/>
  </rowFields>
  <rowItems count="4">
    <i>
      <x v="3"/>
    </i>
    <i>
      <x/>
    </i>
    <i>
      <x v="4"/>
    </i>
    <i>
      <x v="1"/>
    </i>
  </rowItems>
  <colItems count="1">
    <i/>
  </colItems>
  <dataFields count="1">
    <dataField name="Average of Conversion_Rate" fld="16" subtotal="average" baseField="0" baseItem="0" numFmtId="1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6A533C-DBC3-4F42-9F12-1C3F459C3656}" name="PivotTable3" cacheId="6989"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3">
  <location ref="A34:B38" firstHeaderRow="1" firstDataRow="1" firstDataCol="1"/>
  <pivotFields count="20">
    <pivotField axis="axisRow" compact="0" outline="0"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0" outline="0" showAll="0"/>
    <pivotField dataField="1" compact="0" numFmtId="165" outline="0" showAll="0"/>
    <pivotField compact="0" numFmtId="10" outline="0" showAll="0"/>
    <pivotField compact="0" numFmtId="9" outline="0" showAll="0"/>
    <pivotField compact="0" numFmtId="10" outline="0" showAll="0"/>
    <pivotField compact="0" outline="0" showAll="0"/>
  </pivotFields>
  <rowFields count="1">
    <field x="0"/>
  </rowFields>
  <rowItems count="4">
    <i>
      <x/>
    </i>
    <i>
      <x v="2"/>
    </i>
    <i>
      <x v="3"/>
    </i>
    <i>
      <x v="1"/>
    </i>
  </rowItems>
  <colItems count="1">
    <i/>
  </colItems>
  <dataFields count="1">
    <dataField name="Average of CPC" fld="15" subtotal="average" baseField="0" baseItem="0" numFmtId="165"/>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94B807-F0F5-447C-8E2F-A76AE8AB1730}" name="PivotTable2" cacheId="6989"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
  <location ref="A21:C25" firstHeaderRow="0" firstDataRow="1" firstDataCol="1"/>
  <pivotFields count="20">
    <pivotField axis="axisRow" compact="0" outline="0" showAll="0" sortType="descending">
      <items count="5">
        <item x="0"/>
        <item x="2"/>
        <item x="3"/>
        <item x="1"/>
        <item t="default"/>
      </items>
      <autoSortScope>
        <pivotArea dataOnly="0" outline="0" fieldPosition="0">
          <references count="1">
            <reference field="4294967294" count="1" selected="0">
              <x v="1"/>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numFmtId="164" outline="0" showAll="0"/>
    <pivotField compact="0" numFmtId="10" outline="0" showAll="0"/>
    <pivotField compact="0" numFmtId="165" outline="0" showAll="0"/>
    <pivotField compact="0" numFmtId="10" outline="0" showAll="0"/>
    <pivotField compact="0" numFmtId="9" outline="0" showAll="0"/>
    <pivotField compact="0" numFmtId="10" outline="0" showAll="0"/>
    <pivotField compact="0" outline="0" showAll="0"/>
  </pivotFields>
  <rowFields count="1">
    <field x="0"/>
  </rowFields>
  <rowItems count="4">
    <i>
      <x/>
    </i>
    <i>
      <x v="2"/>
    </i>
    <i>
      <x v="1"/>
    </i>
    <i>
      <x v="3"/>
    </i>
  </rowItems>
  <colFields count="1">
    <field x="-2"/>
  </colFields>
  <colItems count="2">
    <i>
      <x/>
    </i>
    <i i="1">
      <x v="1"/>
    </i>
  </colItems>
  <dataFields count="2">
    <dataField name="Sum of spend_inr" fld="8" baseField="0" baseItem="0"/>
    <dataField name="Sum of revenue_inr" fld="9" baseField="0" baseItem="0"/>
  </dataFields>
  <formats count="4">
    <format dxfId="44">
      <pivotArea outline="0" fieldPosition="0">
        <references count="1">
          <reference field="0" count="0" selected="0"/>
        </references>
      </pivotArea>
    </format>
    <format dxfId="45">
      <pivotArea grandRow="1" outline="0" collapsedLevelsAreSubtotals="1" fieldPosition="0"/>
    </format>
    <format dxfId="46">
      <pivotArea grandRow="1" outline="0" collapsedLevelsAreSubtotals="1" fieldPosition="0"/>
    </format>
    <format dxfId="47">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3"/>
          </reference>
        </references>
      </pivotArea>
    </chartFormat>
    <chartFormat chart="0" format="3">
      <pivotArea type="data" outline="0" fieldPosition="0">
        <references count="2">
          <reference field="4294967294" count="1" selected="0">
            <x v="1"/>
          </reference>
          <reference field="0" count="1" selected="0">
            <x v="1"/>
          </reference>
        </references>
      </pivotArea>
    </chartFormat>
    <chartFormat chart="0" format="4">
      <pivotArea type="data" outline="0" fieldPosition="0">
        <references count="2">
          <reference field="4294967294" count="1" selected="0">
            <x v="1"/>
          </reference>
          <reference field="0" count="1" selected="0">
            <x v="2"/>
          </reference>
        </references>
      </pivotArea>
    </chartFormat>
    <chartFormat chart="0" format="5">
      <pivotArea type="data" outline="0" fieldPosition="0">
        <references count="2">
          <reference field="4294967294" count="1" selected="0">
            <x v="1"/>
          </reference>
          <reference field="0"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75C789-3738-4D81-A3CA-7D500157E44F}" name="PivotTable1" cacheId="6989"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1">
  <location ref="A8:B12" firstHeaderRow="1" firstDataRow="1" firstDataCol="1" rowPageCount="1" colPageCount="1"/>
  <pivotFields count="20">
    <pivotField axis="axisRow" compact="0" outline="0"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0" outline="0" showAll="0"/>
    <pivotField compact="0" numFmtId="165" outline="0" showAll="0"/>
    <pivotField compact="0" numFmtId="10" outline="0" showAll="0"/>
    <pivotField dataField="1" compact="0" numFmtId="9" outline="0" showAll="0"/>
    <pivotField compact="0" numFmtId="10" outline="0" showAll="0"/>
    <pivotField axis="axisPage" compact="0" outline="0" showAll="0">
      <items count="3">
        <item h="1" x="1"/>
        <item x="0"/>
        <item t="default"/>
      </items>
    </pivotField>
  </pivotFields>
  <rowFields count="1">
    <field x="0"/>
  </rowFields>
  <rowItems count="4">
    <i>
      <x/>
    </i>
    <i>
      <x v="2"/>
    </i>
    <i>
      <x v="1"/>
    </i>
    <i>
      <x v="3"/>
    </i>
  </rowItems>
  <colItems count="1">
    <i/>
  </colItems>
  <pageFields count="1">
    <pageField fld="19" item="1" hier="-1"/>
  </pageFields>
  <dataFields count="1">
    <dataField name="Average of  ROI" fld="17" subtotal="average" baseField="0" baseItem="0" numFmtId="9"/>
  </dataField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CD9CA4-A293-4C07-9B36-3747D194DC45}" name="Table6" displayName="Table6" ref="A6:B15" totalsRowShown="0" headerRowDxfId="43" dataDxfId="42">
  <autoFilter ref="A6:B15" xr:uid="{36CD9CA4-A293-4C07-9B36-3747D194DC45}"/>
  <tableColumns count="2">
    <tableColumn id="1" xr3:uid="{CA2F21ED-AD98-4C9F-9590-FD6C63CFFB99}" name="Section" dataDxfId="41"/>
    <tableColumn id="2" xr3:uid="{2C6E97D6-2FCC-49C1-B892-4DA9755EE896}" name="Details" dataDxfId="40"/>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CEB73F-BF91-4102-9310-C100471CAF02}" name="Table3" displayName="Table3" ref="A5:M303" totalsRowShown="0" tableBorderDxfId="39">
  <autoFilter ref="A5:M303" xr:uid="{5BCEB73F-BF91-4102-9310-C100471CAF02}"/>
  <tableColumns count="13">
    <tableColumn id="1" xr3:uid="{B265B81C-CD71-4A27-A6CF-2822FC0C5FEC}" name="Platform"/>
    <tableColumn id="2" xr3:uid="{B6E2B6F2-A7F2-488C-B783-DE799A1B2E88}" name="Objective"/>
    <tableColumn id="3" xr3:uid="{3A8AEA54-1BB6-41E4-A612-FB75FFDE6DA2}" name="Region"/>
    <tableColumn id="4" xr3:uid="{B8C4F956-6B66-4C63-AD63-5AECD7B990FC}" name="Device"/>
    <tableColumn id="5" xr3:uid="{93021D66-177E-47FD-89EA-D94D201F599F}" name="ad_type"/>
    <tableColumn id="6" xr3:uid="{9AF02BEC-DA8C-4E64-B6BC-90E140D684E7}" name="impressions"/>
    <tableColumn id="7" xr3:uid="{5EBDA670-0E19-4D4E-89BA-20BED802E4E0}" name="clicks"/>
    <tableColumn id="8" xr3:uid="{B252FCCC-0DF8-4FE4-97A5-328B98D14A21}" name="conversions"/>
    <tableColumn id="9" xr3:uid="{CC866501-C69A-4734-BA00-D6B29F8D7F31}" name="spend_inr"/>
    <tableColumn id="10" xr3:uid="{D1384598-1AE4-4F45-8834-8463B74F4557}" name="revenue_inr"/>
    <tableColumn id="11" xr3:uid="{22533A01-37FD-429C-B3C6-9DC49C98290D}" name="likes"/>
    <tableColumn id="12" xr3:uid="{DA359DC2-D593-4937-A785-2F712E67BE98}" name="comments"/>
    <tableColumn id="13" xr3:uid="{B54FB39F-B520-4164-9A0B-6BD902D58CEE}" name="shares"/>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D9742E-1159-4477-8BF3-922BF6DD1407}" name="Table1" displayName="Table1" ref="A7:E18" totalsRowShown="0" headerRowDxfId="38" dataDxfId="37">
  <autoFilter ref="A7:E18" xr:uid="{A4D9742E-1159-4477-8BF3-922BF6DD1407}"/>
  <tableColumns count="5">
    <tableColumn id="1" xr3:uid="{11B1507C-1016-403A-9B05-C8B2BF1DD622}" name=" Category" dataDxfId="36"/>
    <tableColumn id="2" xr3:uid="{30C58215-C7EB-4F60-A23B-085DDC49E3D0}" name="Issue Found" dataDxfId="35"/>
    <tableColumn id="3" xr3:uid="{D9005707-226F-4C05-9A86-F488830B0894}" name="Action Taken" dataDxfId="34"/>
    <tableColumn id="4" xr3:uid="{01F8DE67-10AE-46C4-A929-8AA6425735B0}" name="Blank Value Handling" dataDxfId="33"/>
    <tableColumn id="5" xr3:uid="{E37B97A8-739E-4CDB-A925-378014010D0A}" name="Reasoning" dataDxfId="3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5A5EE6C-0DC3-46DD-B933-6073858AC813}" name="Table7" displayName="Table7" ref="A34:C42" totalsRowShown="0" headerRowDxfId="31" dataDxfId="30" headerRowBorderDxfId="29" totalsRowBorderDxfId="28">
  <autoFilter ref="A34:C42" xr:uid="{B5A5EE6C-0DC3-46DD-B933-6073858AC813}"/>
  <tableColumns count="3">
    <tableColumn id="1" xr3:uid="{A7FAF73E-CB48-479E-BC35-C8FE273DCEE8}" name="Aspect" dataDxfId="27"/>
    <tableColumn id="2" xr3:uid="{0D6F6D1F-7006-4CEE-87E4-3DEC65D418EB}" name="Before Cleaning" dataDxfId="26"/>
    <tableColumn id="3" xr3:uid="{7E7C9462-CFC8-4B0E-8C91-AB14E55EFE68}" name="After Cleaning" dataDxfId="25"/>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6D9F5F-A589-48C6-A201-BD5145F9BCFE}" name="Table2" displayName="Table2" ref="A5:T303" totalsRowShown="0" headerRowDxfId="22" dataDxfId="21" tableBorderDxfId="20">
  <autoFilter ref="A5:T303" xr:uid="{B76D9F5F-A589-48C6-A201-BD5145F9BCFE}">
    <filterColumn colId="19">
      <filters blank="1"/>
    </filterColumn>
  </autoFilter>
  <sortState xmlns:xlrd2="http://schemas.microsoft.com/office/spreadsheetml/2017/richdata2" ref="A6:T303">
    <sortCondition descending="1" ref="I5:I303"/>
  </sortState>
  <tableColumns count="20">
    <tableColumn id="1" xr3:uid="{ECAE4483-6ECE-4787-B3EA-C401DE041ACF}" name="Platform" dataDxfId="19"/>
    <tableColumn id="2" xr3:uid="{CDFE2948-BA00-4966-BB18-F2FBB8F07FC2}" name="Objective" dataDxfId="18"/>
    <tableColumn id="3" xr3:uid="{94061148-76A4-4D22-B84C-1ADEFB214398}" name="Region" dataDxfId="17"/>
    <tableColumn id="4" xr3:uid="{2D1EBCEB-BDB2-44ED-862A-0B5614FCC96F}" name="Device" dataDxfId="16"/>
    <tableColumn id="5" xr3:uid="{08E677AE-063B-4C37-ACD7-23413BB6E26A}" name="ad_type" dataDxfId="15"/>
    <tableColumn id="6" xr3:uid="{5405749A-22E6-4360-BD76-60B7D1B3C483}" name="impressions" dataDxfId="14"/>
    <tableColumn id="7" xr3:uid="{DF3E107A-1883-4394-9669-2F0C5D9893A6}" name="clicks" dataDxfId="13"/>
    <tableColumn id="8" xr3:uid="{89D7DDC1-29E1-4437-A69E-8357E1070026}" name="conversions" dataDxfId="12"/>
    <tableColumn id="9" xr3:uid="{E556CD0D-67EF-4457-9C8A-EE6EED933DE1}" name="spend_inr" dataDxfId="11"/>
    <tableColumn id="10" xr3:uid="{29E742E7-2857-4CDF-84DF-FA47A0015660}" name="revenue_inr" dataDxfId="10"/>
    <tableColumn id="11" xr3:uid="{F9D5B76E-4C84-4354-B5E7-B6FF49EB07BC}" name="likes" dataDxfId="9"/>
    <tableColumn id="12" xr3:uid="{3F8C1377-A846-4A23-8EB0-C7C608116AAE}" name="comments" dataDxfId="8"/>
    <tableColumn id="13" xr3:uid="{3500A10E-6A47-4FA3-AF82-9867DC5CF4B7}" name="shares" dataDxfId="7"/>
    <tableColumn id="14" xr3:uid="{9D9B52B0-3E1F-4AE2-B4FE-8D9948272E57}" name="CPM" dataDxfId="6">
      <calculatedColumnFormula>IF(Table2[[#This Row],[impressions]]=0,0,Table2[[#This Row],[spend_inr]]/Table2[[#This Row],[impressions]]*1000)</calculatedColumnFormula>
    </tableColumn>
    <tableColumn id="15" xr3:uid="{CC5E3772-3D3D-4A8B-8FC6-14C453E14E6A}" name="CTR" dataDxfId="5">
      <calculatedColumnFormula>IF(Table2[[#This Row],[impressions]]=0,0,Table2[[#This Row],[clicks]]/Table2[[#This Row],[impressions]])</calculatedColumnFormula>
    </tableColumn>
    <tableColumn id="16" xr3:uid="{B745B002-B4D9-42F7-8664-EAF7FF338D4B}" name="CPC" dataDxfId="4">
      <calculatedColumnFormula>IF(Table2[[#This Row],[clicks]]=0,0,Table2[[#This Row],[spend_inr]]/Table2[[#This Row],[clicks]])</calculatedColumnFormula>
    </tableColumn>
    <tableColumn id="17" xr3:uid="{BD49D949-FD1D-40E4-8F43-C297DA1C3E3B}" name="Conversion_Rate" dataDxfId="3">
      <calculatedColumnFormula>IF(Table2[[#This Row],[clicks]]=0,0,Table2[[#This Row],[conversions]]/Table2[[#This Row],[clicks]])</calculatedColumnFormula>
    </tableColumn>
    <tableColumn id="18" xr3:uid="{2EDBA287-C191-4CDC-B5DE-736DB5C02A55}" name=" ROI" dataDxfId="2">
      <calculatedColumnFormula>IF(Table2[[#This Row],[spend_inr]]=0,0,(Table2[[#This Row],[revenue_inr]]-Table2[[#This Row],[spend_inr]])/Table2[[#This Row],[spend_inr]])</calculatedColumnFormula>
    </tableColumn>
    <tableColumn id="19" xr3:uid="{0D49187E-AE8A-48D1-AB99-DB5FF328F450}" name="Engagement_Rate" dataDxfId="1">
      <calculatedColumnFormula>IF(Table2[[#This Row],[impressions]]=0,0,(Table2[[#This Row],[likes]]+Table2[[#This Row],[comments]]+Table2[[#This Row],[shares]])/Table2[[#This Row],[impressions]])</calculatedColumnFormula>
    </tableColumn>
    <tableColumn id="20" xr3:uid="{8A6E08C3-3187-4AE7-AD6D-F86EC96F657A}" name="Outlier_Flag" dataDxfId="0"/>
  </tableColumns>
  <tableStyleInfo name="TableStyleLight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D9836-6023-47D7-9AC0-5CC27B62C154}">
  <sheetPr>
    <tabColor theme="8" tint="-0.249977111117893"/>
  </sheetPr>
  <dimension ref="A1:E23"/>
  <sheetViews>
    <sheetView topLeftCell="A11" workbookViewId="0">
      <selection activeCell="B21" sqref="B21"/>
    </sheetView>
  </sheetViews>
  <sheetFormatPr defaultRowHeight="15"/>
  <cols>
    <col min="1" max="1" width="18.5703125" bestFit="1" customWidth="1"/>
    <col min="2" max="2" width="114.5703125" bestFit="1" customWidth="1"/>
    <col min="3" max="3" width="16.28515625" bestFit="1" customWidth="1"/>
    <col min="4" max="4" width="107.42578125" bestFit="1" customWidth="1"/>
  </cols>
  <sheetData>
    <row r="1" spans="1:5" ht="32.25" customHeight="1">
      <c r="A1" s="60"/>
      <c r="B1" s="78" t="s">
        <v>0</v>
      </c>
    </row>
    <row r="2" spans="1:5">
      <c r="B2" s="88"/>
    </row>
    <row r="4" spans="1:5" ht="19.5" customHeight="1">
      <c r="A4" s="61"/>
      <c r="B4" s="79"/>
    </row>
    <row r="6" spans="1:5" s="13" customFormat="1" ht="21" customHeight="1">
      <c r="A6" s="12" t="s">
        <v>1</v>
      </c>
      <c r="B6" s="12" t="s">
        <v>2</v>
      </c>
      <c r="E6" s="14"/>
    </row>
    <row r="7" spans="1:5" ht="26.25" customHeight="1">
      <c r="A7" s="10" t="s">
        <v>3</v>
      </c>
      <c r="B7" s="88" t="s">
        <v>4</v>
      </c>
    </row>
    <row r="8" spans="1:5" ht="24" customHeight="1">
      <c r="A8" s="10" t="s">
        <v>5</v>
      </c>
      <c r="B8" s="11" t="s">
        <v>6</v>
      </c>
    </row>
    <row r="9" spans="1:5" ht="24.75" customHeight="1">
      <c r="A9" s="10" t="s">
        <v>7</v>
      </c>
      <c r="B9" s="11" t="s">
        <v>8</v>
      </c>
    </row>
    <row r="10" spans="1:5" ht="23.25" customHeight="1">
      <c r="A10" s="10" t="s">
        <v>9</v>
      </c>
      <c r="B10" s="80" t="s">
        <v>10</v>
      </c>
    </row>
    <row r="11" spans="1:5" ht="23.25" customHeight="1">
      <c r="A11" s="10" t="s">
        <v>11</v>
      </c>
      <c r="B11" s="11" t="s">
        <v>12</v>
      </c>
    </row>
    <row r="12" spans="1:5" ht="24.75" customHeight="1">
      <c r="A12" s="10" t="s">
        <v>13</v>
      </c>
      <c r="B12" s="80" t="s">
        <v>14</v>
      </c>
    </row>
    <row r="13" spans="1:5" ht="25.5" customHeight="1">
      <c r="A13" s="10" t="s">
        <v>15</v>
      </c>
      <c r="B13" s="11" t="s">
        <v>16</v>
      </c>
    </row>
    <row r="14" spans="1:5" ht="25.5" customHeight="1">
      <c r="A14" s="10" t="s">
        <v>17</v>
      </c>
      <c r="B14" s="11" t="s">
        <v>18</v>
      </c>
    </row>
    <row r="15" spans="1:5" ht="26.25" customHeight="1">
      <c r="A15" s="10" t="s">
        <v>19</v>
      </c>
      <c r="B15" s="11" t="s">
        <v>20</v>
      </c>
    </row>
    <row r="16" spans="1:5">
      <c r="A16" s="9"/>
      <c r="B16" s="9"/>
    </row>
    <row r="17" spans="1:2" ht="15" customHeight="1">
      <c r="A17" s="92" t="s">
        <v>21</v>
      </c>
      <c r="B17" s="93"/>
    </row>
    <row r="18" spans="1:2">
      <c r="A18" s="93"/>
      <c r="B18" s="93"/>
    </row>
    <row r="19" spans="1:2">
      <c r="A19" s="93"/>
      <c r="B19" s="93"/>
    </row>
    <row r="20" spans="1:2">
      <c r="A20" s="93"/>
      <c r="B20" s="93"/>
    </row>
    <row r="23" spans="1:2">
      <c r="A23" s="90" t="s">
        <v>22</v>
      </c>
      <c r="B23" s="91"/>
    </row>
  </sheetData>
  <mergeCells count="2">
    <mergeCell ref="A23:B23"/>
    <mergeCell ref="A17:B20"/>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499984740745262"/>
  </sheetPr>
  <dimension ref="A1:M310"/>
  <sheetViews>
    <sheetView topLeftCell="A71" workbookViewId="0">
      <selection activeCell="B84" sqref="B84"/>
    </sheetView>
  </sheetViews>
  <sheetFormatPr defaultRowHeight="15"/>
  <cols>
    <col min="1" max="1" width="11" bestFit="1" customWidth="1"/>
    <col min="2" max="2" width="11.85546875" bestFit="1" customWidth="1"/>
    <col min="3" max="3" width="8.85546875" bestFit="1" customWidth="1"/>
    <col min="4" max="4" width="8.7109375" bestFit="1" customWidth="1"/>
    <col min="5" max="5" width="10.28515625" bestFit="1" customWidth="1"/>
    <col min="6" max="6" width="14.5703125" bestFit="1" customWidth="1"/>
    <col min="7" max="7" width="7.140625" bestFit="1" customWidth="1"/>
    <col min="8" max="8" width="14.5703125" bestFit="1" customWidth="1"/>
    <col min="9" max="9" width="12.42578125" bestFit="1" customWidth="1"/>
    <col min="10" max="10" width="14.85546875" bestFit="1" customWidth="1"/>
    <col min="11" max="11" width="6.28515625" bestFit="1" customWidth="1"/>
    <col min="12" max="12" width="13" bestFit="1" customWidth="1"/>
  </cols>
  <sheetData>
    <row r="1" spans="1:13" ht="32.25" customHeight="1">
      <c r="A1" s="94" t="s">
        <v>23</v>
      </c>
      <c r="B1" s="94"/>
      <c r="C1" s="94"/>
      <c r="D1" s="94"/>
      <c r="E1" s="94"/>
      <c r="F1" s="94"/>
      <c r="G1" s="94"/>
      <c r="H1" s="94"/>
      <c r="I1" s="94"/>
      <c r="J1" s="94"/>
      <c r="K1" s="94"/>
      <c r="L1" s="94"/>
      <c r="M1" s="94"/>
    </row>
    <row r="2" spans="1:13" ht="18.75" customHeight="1">
      <c r="A2" s="5"/>
      <c r="B2" s="5"/>
      <c r="C2" s="5"/>
      <c r="D2" s="5"/>
      <c r="E2" s="5"/>
      <c r="F2" s="5"/>
      <c r="G2" s="5"/>
      <c r="H2" s="5"/>
      <c r="I2" s="5"/>
      <c r="J2" s="5"/>
      <c r="K2" s="5"/>
      <c r="L2" s="5"/>
      <c r="M2" s="5"/>
    </row>
    <row r="3" spans="1:13" ht="19.5" customHeight="1">
      <c r="A3" s="95" t="s">
        <v>24</v>
      </c>
      <c r="B3" s="95"/>
      <c r="C3" s="95"/>
      <c r="D3" s="95"/>
      <c r="E3" s="95"/>
      <c r="F3" s="95"/>
      <c r="G3" s="95"/>
      <c r="H3" s="95"/>
      <c r="I3" s="95"/>
      <c r="J3" s="95"/>
      <c r="K3" s="95"/>
      <c r="L3" s="95"/>
      <c r="M3" s="95"/>
    </row>
    <row r="4" spans="1:13" ht="19.5" customHeight="1">
      <c r="A4" s="5"/>
      <c r="B4" s="5"/>
      <c r="C4" s="5"/>
      <c r="D4" s="5"/>
      <c r="E4" s="5"/>
      <c r="F4" s="5"/>
      <c r="G4" s="5"/>
      <c r="H4" s="5"/>
      <c r="I4" s="5"/>
      <c r="J4" s="5"/>
      <c r="K4" s="5"/>
      <c r="L4" s="5"/>
      <c r="M4" s="5"/>
    </row>
    <row r="5" spans="1:13" ht="18">
      <c r="A5" s="8" t="s">
        <v>25</v>
      </c>
      <c r="B5" s="8" t="s">
        <v>7</v>
      </c>
      <c r="C5" s="8" t="s">
        <v>26</v>
      </c>
      <c r="D5" s="8" t="s">
        <v>27</v>
      </c>
      <c r="E5" s="8" t="s">
        <v>28</v>
      </c>
      <c r="F5" s="8" t="s">
        <v>29</v>
      </c>
      <c r="G5" s="8" t="s">
        <v>30</v>
      </c>
      <c r="H5" s="8" t="s">
        <v>31</v>
      </c>
      <c r="I5" s="8" t="s">
        <v>32</v>
      </c>
      <c r="J5" s="8" t="s">
        <v>33</v>
      </c>
      <c r="K5" s="8" t="s">
        <v>34</v>
      </c>
      <c r="L5" s="8" t="s">
        <v>35</v>
      </c>
      <c r="M5" s="8" t="s">
        <v>36</v>
      </c>
    </row>
    <row r="6" spans="1:13">
      <c r="A6" s="1" t="s">
        <v>37</v>
      </c>
      <c r="B6" s="1" t="s">
        <v>38</v>
      </c>
      <c r="C6" s="1" t="s">
        <v>39</v>
      </c>
      <c r="D6" s="1" t="s">
        <v>40</v>
      </c>
      <c r="E6" s="1" t="s">
        <v>41</v>
      </c>
      <c r="F6" s="1">
        <v>37013</v>
      </c>
      <c r="G6" s="1">
        <v>524</v>
      </c>
      <c r="H6" s="1">
        <v>12</v>
      </c>
      <c r="I6" s="1">
        <v>7399.24</v>
      </c>
      <c r="J6" s="1">
        <v>14985.65</v>
      </c>
      <c r="K6" s="1">
        <v>209</v>
      </c>
      <c r="L6" s="1">
        <v>15</v>
      </c>
      <c r="M6" s="1">
        <v>8</v>
      </c>
    </row>
    <row r="7" spans="1:13">
      <c r="A7" s="1" t="s">
        <v>42</v>
      </c>
      <c r="B7" s="1" t="s">
        <v>43</v>
      </c>
      <c r="C7" s="1" t="s">
        <v>39</v>
      </c>
      <c r="D7" s="1" t="s">
        <v>40</v>
      </c>
      <c r="E7" s="1" t="s">
        <v>41</v>
      </c>
      <c r="F7" s="1">
        <v>14509</v>
      </c>
      <c r="G7" s="1">
        <v>140</v>
      </c>
      <c r="H7" s="1">
        <v>3</v>
      </c>
      <c r="I7" s="1">
        <v>7323.71</v>
      </c>
      <c r="J7" s="1">
        <v>1511.84</v>
      </c>
      <c r="K7" s="1">
        <v>56</v>
      </c>
      <c r="L7" s="1">
        <v>7</v>
      </c>
      <c r="M7" s="1">
        <v>3</v>
      </c>
    </row>
    <row r="8" spans="1:13">
      <c r="A8" s="1" t="s">
        <v>42</v>
      </c>
      <c r="B8" s="1" t="s">
        <v>44</v>
      </c>
      <c r="C8" s="1" t="s">
        <v>45</v>
      </c>
      <c r="D8" s="1" t="s">
        <v>46</v>
      </c>
      <c r="E8" s="1" t="s">
        <v>47</v>
      </c>
      <c r="F8" s="1">
        <v>15840</v>
      </c>
      <c r="G8" s="1">
        <v>162</v>
      </c>
      <c r="H8" s="1">
        <v>3</v>
      </c>
      <c r="I8" s="1">
        <v>7052.29</v>
      </c>
      <c r="J8" s="1">
        <v>3643.73</v>
      </c>
      <c r="K8" s="1">
        <v>66</v>
      </c>
      <c r="L8" s="1">
        <v>4</v>
      </c>
      <c r="M8" s="1">
        <v>3</v>
      </c>
    </row>
    <row r="9" spans="1:13">
      <c r="A9" s="1" t="s">
        <v>42</v>
      </c>
      <c r="B9" s="1" t="s">
        <v>48</v>
      </c>
      <c r="C9" s="1" t="s">
        <v>49</v>
      </c>
      <c r="D9" s="1" t="s">
        <v>40</v>
      </c>
      <c r="E9" s="1" t="s">
        <v>50</v>
      </c>
      <c r="F9" s="1"/>
      <c r="G9" s="1">
        <v>172</v>
      </c>
      <c r="H9" s="1">
        <v>1</v>
      </c>
      <c r="I9" s="1">
        <v>6718.94</v>
      </c>
      <c r="J9" s="1">
        <v>1117.77</v>
      </c>
      <c r="K9" s="1">
        <v>69</v>
      </c>
      <c r="L9" s="1">
        <v>7</v>
      </c>
      <c r="M9" s="1">
        <v>4</v>
      </c>
    </row>
    <row r="10" spans="1:13">
      <c r="A10" s="1" t="s">
        <v>51</v>
      </c>
      <c r="B10" s="1" t="s">
        <v>44</v>
      </c>
      <c r="C10" s="1" t="s">
        <v>39</v>
      </c>
      <c r="D10" s="1" t="s">
        <v>46</v>
      </c>
      <c r="E10" s="1" t="s">
        <v>50</v>
      </c>
      <c r="F10" s="1">
        <v>27429</v>
      </c>
      <c r="G10" s="1">
        <v>347</v>
      </c>
      <c r="H10" s="1"/>
      <c r="I10" s="1">
        <v>7636.56</v>
      </c>
      <c r="J10" s="1">
        <v>4915.42</v>
      </c>
      <c r="K10" s="1">
        <v>110</v>
      </c>
      <c r="L10" s="1">
        <v>11</v>
      </c>
      <c r="M10" s="1">
        <v>4</v>
      </c>
    </row>
    <row r="11" spans="1:13">
      <c r="A11" s="1" t="s">
        <v>42</v>
      </c>
      <c r="B11" s="1" t="s">
        <v>48</v>
      </c>
      <c r="C11" s="1" t="s">
        <v>49</v>
      </c>
      <c r="D11" s="1" t="s">
        <v>40</v>
      </c>
      <c r="E11" s="1" t="s">
        <v>41</v>
      </c>
      <c r="F11" s="1">
        <v>15801</v>
      </c>
      <c r="G11" s="1">
        <v>147</v>
      </c>
      <c r="H11" s="1">
        <v>2</v>
      </c>
      <c r="I11" s="1"/>
      <c r="J11" s="1">
        <v>2095.17</v>
      </c>
      <c r="K11" s="1">
        <v>68</v>
      </c>
      <c r="L11" s="1">
        <v>4</v>
      </c>
      <c r="M11" s="1">
        <v>5</v>
      </c>
    </row>
    <row r="12" spans="1:13">
      <c r="A12" s="1" t="s">
        <v>37</v>
      </c>
      <c r="B12" s="1" t="s">
        <v>44</v>
      </c>
      <c r="C12" s="1" t="s">
        <v>49</v>
      </c>
      <c r="D12" s="1" t="s">
        <v>46</v>
      </c>
      <c r="E12" s="1" t="s">
        <v>47</v>
      </c>
      <c r="F12" s="1">
        <v>57991</v>
      </c>
      <c r="G12" s="1"/>
      <c r="H12" s="1">
        <v>19</v>
      </c>
      <c r="I12" s="1">
        <v>4461.57</v>
      </c>
      <c r="J12" s="1"/>
      <c r="K12" s="1">
        <v>223</v>
      </c>
      <c r="L12" s="1">
        <v>16</v>
      </c>
      <c r="M12" s="1">
        <v>13</v>
      </c>
    </row>
    <row r="13" spans="1:13">
      <c r="A13" s="1" t="s">
        <v>52</v>
      </c>
      <c r="B13" s="1" t="s">
        <v>48</v>
      </c>
      <c r="C13" s="1" t="s">
        <v>45</v>
      </c>
      <c r="D13" s="1" t="s">
        <v>40</v>
      </c>
      <c r="E13" s="1" t="s">
        <v>53</v>
      </c>
      <c r="F13" s="1">
        <v>18518</v>
      </c>
      <c r="G13" s="1">
        <v>465</v>
      </c>
      <c r="H13" s="1">
        <v>17</v>
      </c>
      <c r="I13" s="1">
        <v>2654.22</v>
      </c>
      <c r="J13" s="1">
        <v>15029.95</v>
      </c>
      <c r="K13" s="1"/>
      <c r="L13" s="1"/>
      <c r="M13" s="1"/>
    </row>
    <row r="14" spans="1:13">
      <c r="A14" s="1" t="s">
        <v>51</v>
      </c>
      <c r="B14" s="1" t="s">
        <v>48</v>
      </c>
      <c r="C14" s="1" t="s">
        <v>54</v>
      </c>
      <c r="D14" s="1" t="s">
        <v>46</v>
      </c>
      <c r="E14" s="1"/>
      <c r="F14" s="1"/>
      <c r="G14" s="1">
        <v>409</v>
      </c>
      <c r="H14" s="1">
        <v>8</v>
      </c>
      <c r="I14" s="1">
        <v>8609.82</v>
      </c>
      <c r="J14" s="1">
        <v>10608.98</v>
      </c>
      <c r="K14" s="1">
        <v>143</v>
      </c>
      <c r="L14" s="1">
        <v>17</v>
      </c>
      <c r="M14" s="1">
        <v>15</v>
      </c>
    </row>
    <row r="15" spans="1:13">
      <c r="A15" s="1" t="s">
        <v>37</v>
      </c>
      <c r="B15" s="1" t="s">
        <v>38</v>
      </c>
      <c r="C15" s="1" t="s">
        <v>55</v>
      </c>
      <c r="D15" s="1" t="s">
        <v>40</v>
      </c>
      <c r="E15" s="1" t="s">
        <v>50</v>
      </c>
      <c r="F15" s="1">
        <v>79924</v>
      </c>
      <c r="G15" s="1">
        <v>953</v>
      </c>
      <c r="H15" s="1">
        <v>24</v>
      </c>
      <c r="I15" s="1">
        <v>5741.91</v>
      </c>
      <c r="J15" s="1">
        <v>20572.36</v>
      </c>
      <c r="K15" s="1"/>
      <c r="L15" s="1">
        <v>30</v>
      </c>
      <c r="M15" s="1">
        <v>18</v>
      </c>
    </row>
    <row r="16" spans="1:13">
      <c r="A16" s="1" t="s">
        <v>37</v>
      </c>
      <c r="B16" s="1" t="s">
        <v>44</v>
      </c>
      <c r="C16" s="1"/>
      <c r="D16" s="1" t="s">
        <v>40</v>
      </c>
      <c r="E16" s="1" t="s">
        <v>41</v>
      </c>
      <c r="F16" s="1">
        <v>29616</v>
      </c>
      <c r="G16" s="1">
        <v>404</v>
      </c>
      <c r="H16" s="1">
        <v>8</v>
      </c>
      <c r="I16" s="1">
        <v>7416.81</v>
      </c>
      <c r="J16" s="1">
        <v>6519.41</v>
      </c>
      <c r="K16" s="1">
        <v>172</v>
      </c>
      <c r="L16" s="1">
        <v>13</v>
      </c>
      <c r="M16" s="1">
        <v>4</v>
      </c>
    </row>
    <row r="17" spans="1:13">
      <c r="A17" s="1" t="s">
        <v>37</v>
      </c>
      <c r="B17" s="1" t="s">
        <v>43</v>
      </c>
      <c r="C17" s="1" t="s">
        <v>55</v>
      </c>
      <c r="D17" s="1" t="s">
        <v>40</v>
      </c>
      <c r="E17" s="1" t="s">
        <v>47</v>
      </c>
      <c r="F17" s="1">
        <v>55702</v>
      </c>
      <c r="G17" s="1">
        <v>889</v>
      </c>
      <c r="H17" s="1">
        <v>24</v>
      </c>
      <c r="I17" s="1">
        <v>8159.41</v>
      </c>
      <c r="J17" s="1">
        <v>22020.22</v>
      </c>
      <c r="K17" s="1">
        <v>374</v>
      </c>
      <c r="L17" s="1">
        <v>36</v>
      </c>
      <c r="M17" s="1">
        <v>24</v>
      </c>
    </row>
    <row r="18" spans="1:13">
      <c r="A18" s="1" t="s">
        <v>42</v>
      </c>
      <c r="B18" s="1" t="s">
        <v>44</v>
      </c>
      <c r="C18" s="1" t="s">
        <v>39</v>
      </c>
      <c r="D18" s="1" t="s">
        <v>40</v>
      </c>
      <c r="E18" s="1" t="s">
        <v>47</v>
      </c>
      <c r="F18" s="1">
        <v>28810</v>
      </c>
      <c r="G18" s="1">
        <v>177</v>
      </c>
      <c r="H18" s="1">
        <v>2</v>
      </c>
      <c r="I18" s="1">
        <v>3835.51</v>
      </c>
      <c r="J18" s="1">
        <v>2115.16</v>
      </c>
      <c r="K18" s="1">
        <v>73</v>
      </c>
      <c r="L18" s="1">
        <v>6</v>
      </c>
      <c r="M18" s="1">
        <v>3</v>
      </c>
    </row>
    <row r="19" spans="1:13">
      <c r="A19" s="1" t="s">
        <v>52</v>
      </c>
      <c r="B19" s="1" t="s">
        <v>44</v>
      </c>
      <c r="C19" s="1" t="s">
        <v>55</v>
      </c>
      <c r="D19" s="1" t="s">
        <v>40</v>
      </c>
      <c r="E19" s="1" t="s">
        <v>53</v>
      </c>
      <c r="F19" s="1">
        <v>31618</v>
      </c>
      <c r="G19" s="1">
        <v>1000</v>
      </c>
      <c r="H19" s="1">
        <v>34</v>
      </c>
      <c r="I19" s="1"/>
      <c r="J19" s="1">
        <v>31986.31</v>
      </c>
      <c r="K19" s="1"/>
      <c r="L19" s="1"/>
      <c r="M19" s="1"/>
    </row>
    <row r="20" spans="1:13">
      <c r="A20" s="1" t="s">
        <v>52</v>
      </c>
      <c r="B20" s="1"/>
      <c r="C20" s="1" t="s">
        <v>49</v>
      </c>
      <c r="D20" s="1" t="s">
        <v>40</v>
      </c>
      <c r="E20" s="1" t="s">
        <v>53</v>
      </c>
      <c r="F20" s="1">
        <v>66978</v>
      </c>
      <c r="G20" s="1">
        <v>3348</v>
      </c>
      <c r="H20" s="1">
        <v>140</v>
      </c>
      <c r="I20" s="1">
        <v>4227.91</v>
      </c>
      <c r="J20" s="1">
        <v>189550.73</v>
      </c>
      <c r="K20" s="1"/>
      <c r="L20" s="1"/>
      <c r="M20" s="1"/>
    </row>
    <row r="21" spans="1:13">
      <c r="A21" s="1" t="s">
        <v>52</v>
      </c>
      <c r="B21" s="1" t="s">
        <v>44</v>
      </c>
      <c r="C21" s="1" t="s">
        <v>55</v>
      </c>
      <c r="D21" s="1" t="s">
        <v>46</v>
      </c>
      <c r="E21" s="1" t="s">
        <v>53</v>
      </c>
      <c r="F21" s="1">
        <v>41801</v>
      </c>
      <c r="G21" s="1">
        <v>1694</v>
      </c>
      <c r="H21" s="1">
        <v>55</v>
      </c>
      <c r="I21" s="1">
        <v>2476.6799999999998</v>
      </c>
      <c r="J21" s="1"/>
      <c r="K21" s="1"/>
      <c r="L21" s="1"/>
      <c r="M21" s="1"/>
    </row>
    <row r="22" spans="1:13">
      <c r="A22" s="1" t="s">
        <v>37</v>
      </c>
      <c r="B22" s="1" t="s">
        <v>43</v>
      </c>
      <c r="C22" s="1" t="s">
        <v>45</v>
      </c>
      <c r="D22" s="1" t="s">
        <v>40</v>
      </c>
      <c r="E22" s="1" t="s">
        <v>50</v>
      </c>
      <c r="F22" s="1"/>
      <c r="G22" s="1"/>
      <c r="H22" s="1"/>
      <c r="I22" s="1">
        <v>6102.15</v>
      </c>
      <c r="J22" s="1">
        <v>19137.43</v>
      </c>
      <c r="K22" s="1">
        <v>298</v>
      </c>
      <c r="L22" s="1">
        <v>33</v>
      </c>
      <c r="M22" s="1">
        <v>25</v>
      </c>
    </row>
    <row r="23" spans="1:13">
      <c r="A23" s="1" t="s">
        <v>42</v>
      </c>
      <c r="B23" s="1" t="s">
        <v>48</v>
      </c>
      <c r="C23" s="1" t="s">
        <v>49</v>
      </c>
      <c r="D23" s="1" t="s">
        <v>40</v>
      </c>
      <c r="E23" s="1" t="s">
        <v>41</v>
      </c>
      <c r="F23" s="1">
        <v>75520</v>
      </c>
      <c r="G23" s="1">
        <v>650</v>
      </c>
      <c r="H23" s="1"/>
      <c r="I23" s="1">
        <v>3114.36</v>
      </c>
      <c r="J23" s="1">
        <v>7296.77</v>
      </c>
      <c r="K23" s="1">
        <v>218</v>
      </c>
      <c r="L23" s="1">
        <v>36</v>
      </c>
      <c r="M23" s="1">
        <v>13</v>
      </c>
    </row>
    <row r="24" spans="1:13">
      <c r="A24" s="1" t="s">
        <v>37</v>
      </c>
      <c r="B24" s="1" t="s">
        <v>48</v>
      </c>
      <c r="C24" s="1" t="s">
        <v>49</v>
      </c>
      <c r="D24" s="1" t="s">
        <v>40</v>
      </c>
      <c r="E24" s="1" t="s">
        <v>41</v>
      </c>
      <c r="F24" s="1">
        <v>62576</v>
      </c>
      <c r="G24" s="1">
        <v>760</v>
      </c>
      <c r="H24" s="1">
        <v>20</v>
      </c>
      <c r="I24" s="1">
        <v>3531.39</v>
      </c>
      <c r="J24" s="1">
        <v>24892.06</v>
      </c>
      <c r="K24" s="1">
        <v>299</v>
      </c>
      <c r="L24" s="1">
        <v>33</v>
      </c>
      <c r="M24" s="1">
        <v>10</v>
      </c>
    </row>
    <row r="25" spans="1:13">
      <c r="A25" s="1" t="s">
        <v>52</v>
      </c>
      <c r="B25" s="1" t="s">
        <v>48</v>
      </c>
      <c r="C25" s="1" t="s">
        <v>39</v>
      </c>
      <c r="D25" s="1" t="s">
        <v>40</v>
      </c>
      <c r="E25" s="1" t="s">
        <v>53</v>
      </c>
      <c r="F25" s="1">
        <v>31731</v>
      </c>
      <c r="G25" s="1">
        <v>771</v>
      </c>
      <c r="H25" s="1">
        <v>28</v>
      </c>
      <c r="I25" s="1">
        <v>3288.24</v>
      </c>
      <c r="J25" s="1">
        <v>20961.150000000001</v>
      </c>
      <c r="K25" s="1"/>
      <c r="L25" s="1"/>
      <c r="M25" s="1"/>
    </row>
    <row r="26" spans="1:13">
      <c r="A26" s="1" t="s">
        <v>42</v>
      </c>
      <c r="B26" s="1" t="s">
        <v>38</v>
      </c>
      <c r="C26" s="1" t="s">
        <v>55</v>
      </c>
      <c r="D26" s="1" t="s">
        <v>40</v>
      </c>
      <c r="E26" s="1" t="s">
        <v>47</v>
      </c>
      <c r="F26" s="1">
        <v>67485</v>
      </c>
      <c r="G26" s="1">
        <v>502</v>
      </c>
      <c r="H26" s="1">
        <v>6</v>
      </c>
      <c r="I26" s="1"/>
      <c r="J26" s="1">
        <v>8533.4</v>
      </c>
      <c r="K26" s="1">
        <v>243</v>
      </c>
      <c r="L26" s="1">
        <v>21</v>
      </c>
      <c r="M26" s="1">
        <v>13</v>
      </c>
    </row>
    <row r="27" spans="1:13">
      <c r="A27" s="1" t="s">
        <v>37</v>
      </c>
      <c r="B27" s="1" t="s">
        <v>43</v>
      </c>
      <c r="C27" s="1" t="s">
        <v>55</v>
      </c>
      <c r="D27" s="1" t="s">
        <v>40</v>
      </c>
      <c r="E27" s="1" t="s">
        <v>47</v>
      </c>
      <c r="F27" s="1">
        <v>24254</v>
      </c>
      <c r="G27" s="1">
        <v>345</v>
      </c>
      <c r="H27" s="1">
        <v>9</v>
      </c>
      <c r="I27" s="1">
        <v>2104.02</v>
      </c>
      <c r="J27" s="1">
        <v>11625.81</v>
      </c>
      <c r="K27" s="1">
        <v>142</v>
      </c>
      <c r="L27" s="1">
        <v>19</v>
      </c>
      <c r="M27" s="1">
        <v>9</v>
      </c>
    </row>
    <row r="28" spans="1:13">
      <c r="A28" s="1" t="s">
        <v>42</v>
      </c>
      <c r="B28" s="1" t="s">
        <v>48</v>
      </c>
      <c r="C28" s="1" t="s">
        <v>39</v>
      </c>
      <c r="D28" s="1" t="s">
        <v>46</v>
      </c>
      <c r="E28" s="1" t="s">
        <v>50</v>
      </c>
      <c r="F28" s="1"/>
      <c r="G28" s="1">
        <v>634</v>
      </c>
      <c r="H28" s="1">
        <v>9</v>
      </c>
      <c r="I28" s="1">
        <v>6961.95</v>
      </c>
      <c r="J28" s="1">
        <v>10745.01</v>
      </c>
      <c r="K28" s="1">
        <v>203</v>
      </c>
      <c r="L28" s="1"/>
      <c r="M28" s="1">
        <v>9</v>
      </c>
    </row>
    <row r="29" spans="1:13">
      <c r="A29" s="1" t="s">
        <v>42</v>
      </c>
      <c r="B29" s="1" t="s">
        <v>48</v>
      </c>
      <c r="C29" s="1" t="s">
        <v>45</v>
      </c>
      <c r="D29" s="1" t="s">
        <v>40</v>
      </c>
      <c r="E29" s="1" t="s">
        <v>41</v>
      </c>
      <c r="F29" s="1">
        <v>65484</v>
      </c>
      <c r="G29" s="1">
        <v>641</v>
      </c>
      <c r="H29" s="1">
        <v>19</v>
      </c>
      <c r="I29" s="1">
        <v>5548.85</v>
      </c>
      <c r="J29" s="1">
        <v>20697.61</v>
      </c>
      <c r="K29" s="1">
        <v>217</v>
      </c>
      <c r="L29" s="1">
        <v>24</v>
      </c>
      <c r="M29" s="1">
        <v>12</v>
      </c>
    </row>
    <row r="30" spans="1:13">
      <c r="A30" s="1" t="s">
        <v>51</v>
      </c>
      <c r="B30" s="1" t="s">
        <v>44</v>
      </c>
      <c r="C30" s="1" t="s">
        <v>54</v>
      </c>
      <c r="D30" s="1" t="s">
        <v>46</v>
      </c>
      <c r="E30" s="1" t="s">
        <v>50</v>
      </c>
      <c r="F30" s="1">
        <v>14312</v>
      </c>
      <c r="G30" s="1">
        <v>141</v>
      </c>
      <c r="H30" s="1">
        <v>2</v>
      </c>
      <c r="I30" s="1">
        <v>2262.9</v>
      </c>
      <c r="J30" s="1"/>
      <c r="K30" s="1">
        <v>58</v>
      </c>
      <c r="L30" s="1">
        <v>4</v>
      </c>
      <c r="M30" s="1">
        <v>2</v>
      </c>
    </row>
    <row r="31" spans="1:13">
      <c r="A31" s="1" t="s">
        <v>52</v>
      </c>
      <c r="B31" s="1" t="s">
        <v>38</v>
      </c>
      <c r="C31" s="1" t="s">
        <v>54</v>
      </c>
      <c r="D31" s="1" t="s">
        <v>40</v>
      </c>
      <c r="E31" s="1" t="s">
        <v>56</v>
      </c>
      <c r="F31" s="1">
        <v>48834</v>
      </c>
      <c r="G31" s="1">
        <v>1921</v>
      </c>
      <c r="H31" s="1"/>
      <c r="I31" s="1">
        <v>7867.83</v>
      </c>
      <c r="J31" s="1">
        <v>102486.7</v>
      </c>
      <c r="K31" s="1"/>
      <c r="L31" s="1"/>
      <c r="M31" s="1"/>
    </row>
    <row r="32" spans="1:13">
      <c r="A32" s="1" t="s">
        <v>42</v>
      </c>
      <c r="B32" s="1" t="s">
        <v>38</v>
      </c>
      <c r="C32" s="1" t="s">
        <v>49</v>
      </c>
      <c r="D32" s="1" t="s">
        <v>40</v>
      </c>
      <c r="E32" s="1" t="s">
        <v>47</v>
      </c>
      <c r="F32" s="1">
        <v>23841</v>
      </c>
      <c r="G32" s="1"/>
      <c r="H32" s="1">
        <v>7</v>
      </c>
      <c r="I32" s="1">
        <v>6222.14</v>
      </c>
      <c r="J32" s="1">
        <v>3648.16</v>
      </c>
      <c r="K32" s="1">
        <v>112</v>
      </c>
      <c r="L32" s="1">
        <v>6</v>
      </c>
      <c r="M32" s="1">
        <v>5</v>
      </c>
    </row>
    <row r="33" spans="1:13">
      <c r="A33" s="1" t="s">
        <v>51</v>
      </c>
      <c r="B33" s="1" t="s">
        <v>44</v>
      </c>
      <c r="C33" s="1" t="s">
        <v>49</v>
      </c>
      <c r="D33" s="1" t="s">
        <v>40</v>
      </c>
      <c r="E33" s="1" t="s">
        <v>50</v>
      </c>
      <c r="F33" s="1">
        <v>62516</v>
      </c>
      <c r="G33" s="1">
        <v>853</v>
      </c>
      <c r="H33" s="1">
        <v>15</v>
      </c>
      <c r="I33" s="1">
        <v>5591.86</v>
      </c>
      <c r="J33" s="1">
        <v>10122.209999999999</v>
      </c>
      <c r="K33" s="1">
        <v>258</v>
      </c>
      <c r="L33" s="1">
        <v>46</v>
      </c>
      <c r="M33" s="1">
        <v>27</v>
      </c>
    </row>
    <row r="34" spans="1:13">
      <c r="A34" s="1" t="s">
        <v>52</v>
      </c>
      <c r="B34" s="1" t="s">
        <v>43</v>
      </c>
      <c r="C34" s="1" t="s">
        <v>45</v>
      </c>
      <c r="D34" s="1" t="s">
        <v>46</v>
      </c>
      <c r="E34" s="1" t="s">
        <v>56</v>
      </c>
      <c r="F34" s="1"/>
      <c r="G34" s="1">
        <v>1312</v>
      </c>
      <c r="H34" s="1">
        <v>43</v>
      </c>
      <c r="I34" s="1">
        <v>5196.88</v>
      </c>
      <c r="J34" s="1">
        <v>36063.199999999997</v>
      </c>
      <c r="K34" s="1"/>
      <c r="L34" s="1"/>
      <c r="M34" s="1"/>
    </row>
    <row r="35" spans="1:13">
      <c r="A35" s="1" t="s">
        <v>52</v>
      </c>
      <c r="B35" s="1" t="s">
        <v>48</v>
      </c>
      <c r="C35" s="1" t="s">
        <v>55</v>
      </c>
      <c r="D35" s="1" t="s">
        <v>40</v>
      </c>
      <c r="E35" s="1" t="s">
        <v>53</v>
      </c>
      <c r="F35" s="1">
        <v>68670</v>
      </c>
      <c r="G35" s="1">
        <v>1689</v>
      </c>
      <c r="H35" s="1"/>
      <c r="I35" s="1">
        <v>2662.61</v>
      </c>
      <c r="J35" s="1">
        <v>43768.92</v>
      </c>
      <c r="K35" s="1"/>
      <c r="L35" s="1"/>
      <c r="M35" s="1"/>
    </row>
    <row r="36" spans="1:13">
      <c r="A36" s="1" t="s">
        <v>52</v>
      </c>
      <c r="B36" s="1" t="s">
        <v>38</v>
      </c>
      <c r="C36" s="1" t="s">
        <v>45</v>
      </c>
      <c r="D36" s="1" t="s">
        <v>40</v>
      </c>
      <c r="E36" s="1" t="s">
        <v>56</v>
      </c>
      <c r="F36" s="1">
        <v>37471</v>
      </c>
      <c r="G36" s="1">
        <v>1357</v>
      </c>
      <c r="H36" s="1">
        <v>29</v>
      </c>
      <c r="I36" s="1">
        <v>6016.43</v>
      </c>
      <c r="J36" s="1">
        <v>37803.480000000003</v>
      </c>
      <c r="K36" s="1"/>
      <c r="L36" s="1"/>
      <c r="M36" s="1"/>
    </row>
    <row r="37" spans="1:13">
      <c r="A37" s="1" t="s">
        <v>42</v>
      </c>
      <c r="B37" s="1" t="s">
        <v>43</v>
      </c>
      <c r="C37" s="1" t="s">
        <v>54</v>
      </c>
      <c r="D37" s="1" t="s">
        <v>40</v>
      </c>
      <c r="E37" s="1" t="s">
        <v>50</v>
      </c>
      <c r="F37" s="1">
        <v>19197</v>
      </c>
      <c r="G37" s="1">
        <v>147</v>
      </c>
      <c r="H37" s="1">
        <v>4</v>
      </c>
      <c r="I37" s="1">
        <v>4458.49</v>
      </c>
      <c r="J37" s="1">
        <v>5457.92</v>
      </c>
      <c r="K37" s="1">
        <v>55</v>
      </c>
      <c r="L37" s="1">
        <v>4</v>
      </c>
      <c r="M37" s="1">
        <v>5</v>
      </c>
    </row>
    <row r="38" spans="1:13">
      <c r="A38" s="1" t="s">
        <v>42</v>
      </c>
      <c r="B38" s="1" t="s">
        <v>44</v>
      </c>
      <c r="C38" s="1" t="s">
        <v>55</v>
      </c>
      <c r="D38" s="1" t="s">
        <v>46</v>
      </c>
      <c r="E38" s="1" t="s">
        <v>50</v>
      </c>
      <c r="F38" s="1">
        <v>57215</v>
      </c>
      <c r="G38" s="1">
        <v>858</v>
      </c>
      <c r="H38" s="1">
        <v>19</v>
      </c>
      <c r="I38" s="1">
        <v>7154.68</v>
      </c>
      <c r="J38" s="1">
        <v>13550.54</v>
      </c>
      <c r="K38" s="1">
        <v>411</v>
      </c>
      <c r="L38" s="1">
        <v>50</v>
      </c>
      <c r="M38" s="1">
        <v>16</v>
      </c>
    </row>
    <row r="39" spans="1:13">
      <c r="A39" s="1" t="s">
        <v>42</v>
      </c>
      <c r="B39" s="1" t="s">
        <v>44</v>
      </c>
      <c r="C39" s="1" t="s">
        <v>39</v>
      </c>
      <c r="D39" s="1" t="s">
        <v>46</v>
      </c>
      <c r="E39" s="1" t="s">
        <v>41</v>
      </c>
      <c r="F39" s="1">
        <v>71168</v>
      </c>
      <c r="G39" s="1">
        <v>620</v>
      </c>
      <c r="H39" s="1">
        <v>12</v>
      </c>
      <c r="I39" s="1">
        <v>8058.87</v>
      </c>
      <c r="J39" s="1">
        <v>16962.98</v>
      </c>
      <c r="K39" s="1">
        <v>242</v>
      </c>
      <c r="L39" s="1">
        <v>15</v>
      </c>
      <c r="M39" s="1">
        <v>21</v>
      </c>
    </row>
    <row r="40" spans="1:13">
      <c r="A40" s="1" t="s">
        <v>51</v>
      </c>
      <c r="B40" s="1" t="s">
        <v>48</v>
      </c>
      <c r="C40" s="1" t="s">
        <v>57</v>
      </c>
      <c r="D40" s="1" t="s">
        <v>40</v>
      </c>
      <c r="E40" s="1" t="s">
        <v>50</v>
      </c>
      <c r="F40" s="1">
        <v>67887</v>
      </c>
      <c r="G40" s="1">
        <v>871</v>
      </c>
      <c r="H40" s="1">
        <v>10</v>
      </c>
      <c r="I40" s="1">
        <v>4824.29</v>
      </c>
      <c r="J40" s="1">
        <v>8557.7199999999993</v>
      </c>
      <c r="K40" s="1">
        <v>399</v>
      </c>
      <c r="L40" s="1">
        <v>46</v>
      </c>
      <c r="M40" s="1">
        <v>22</v>
      </c>
    </row>
    <row r="41" spans="1:13">
      <c r="A41" s="1" t="s">
        <v>51</v>
      </c>
      <c r="B41" s="1" t="s">
        <v>48</v>
      </c>
      <c r="C41" s="1" t="s">
        <v>45</v>
      </c>
      <c r="D41" s="1" t="s">
        <v>40</v>
      </c>
      <c r="E41" s="1"/>
      <c r="F41" s="1">
        <v>72522</v>
      </c>
      <c r="G41" s="1">
        <v>660</v>
      </c>
      <c r="H41" s="1">
        <v>8</v>
      </c>
      <c r="I41" s="1">
        <v>5913.61</v>
      </c>
      <c r="J41" s="1">
        <v>7429.98</v>
      </c>
      <c r="K41" s="1">
        <v>265</v>
      </c>
      <c r="L41" s="1">
        <v>36</v>
      </c>
      <c r="M41" s="1">
        <v>12</v>
      </c>
    </row>
    <row r="42" spans="1:13">
      <c r="A42" s="1" t="s">
        <v>42</v>
      </c>
      <c r="B42" s="1" t="s">
        <v>48</v>
      </c>
      <c r="C42" s="1" t="s">
        <v>55</v>
      </c>
      <c r="D42" s="1" t="s">
        <v>40</v>
      </c>
      <c r="E42" s="1" t="s">
        <v>41</v>
      </c>
      <c r="F42" s="1">
        <v>32086</v>
      </c>
      <c r="G42" s="1">
        <v>253</v>
      </c>
      <c r="H42" s="1">
        <v>7</v>
      </c>
      <c r="I42" s="1">
        <v>4775.09</v>
      </c>
      <c r="J42" s="1">
        <v>4794.07</v>
      </c>
      <c r="K42" s="1">
        <v>118</v>
      </c>
      <c r="L42" s="1">
        <v>10</v>
      </c>
      <c r="M42" s="1">
        <v>2</v>
      </c>
    </row>
    <row r="43" spans="1:13">
      <c r="A43" s="1" t="s">
        <v>42</v>
      </c>
      <c r="B43" s="1" t="s">
        <v>44</v>
      </c>
      <c r="C43" s="1" t="s">
        <v>54</v>
      </c>
      <c r="D43" s="1" t="s">
        <v>46</v>
      </c>
      <c r="E43" s="1" t="s">
        <v>41</v>
      </c>
      <c r="F43" s="1">
        <v>12138</v>
      </c>
      <c r="G43" s="1">
        <v>127</v>
      </c>
      <c r="H43" s="1">
        <v>1</v>
      </c>
      <c r="I43" s="1">
        <v>8922.42</v>
      </c>
      <c r="J43" s="1">
        <v>868.03</v>
      </c>
      <c r="K43" s="1">
        <v>58</v>
      </c>
      <c r="L43" s="1">
        <v>5</v>
      </c>
      <c r="M43" s="1">
        <v>4</v>
      </c>
    </row>
    <row r="44" spans="1:13">
      <c r="A44" s="1" t="s">
        <v>51</v>
      </c>
      <c r="B44" s="1" t="s">
        <v>44</v>
      </c>
      <c r="C44" s="1" t="s">
        <v>45</v>
      </c>
      <c r="D44" s="1" t="s">
        <v>46</v>
      </c>
      <c r="E44" s="1" t="s">
        <v>50</v>
      </c>
      <c r="F44" s="1">
        <v>47004</v>
      </c>
      <c r="G44" s="1">
        <v>567</v>
      </c>
      <c r="H44" s="1">
        <v>5</v>
      </c>
      <c r="I44" s="1">
        <v>4017.77</v>
      </c>
      <c r="J44" s="1">
        <v>7192.57</v>
      </c>
      <c r="K44" s="1">
        <v>250</v>
      </c>
      <c r="L44" s="1">
        <v>17</v>
      </c>
      <c r="M44" s="1">
        <v>7</v>
      </c>
    </row>
    <row r="45" spans="1:13">
      <c r="A45" s="1" t="s">
        <v>52</v>
      </c>
      <c r="B45" s="1" t="s">
        <v>38</v>
      </c>
      <c r="C45" s="1" t="s">
        <v>49</v>
      </c>
      <c r="D45" s="1" t="s">
        <v>46</v>
      </c>
      <c r="E45" s="1" t="s">
        <v>53</v>
      </c>
      <c r="F45" s="1">
        <v>16988</v>
      </c>
      <c r="G45" s="1">
        <v>573</v>
      </c>
      <c r="H45" s="1">
        <v>20</v>
      </c>
      <c r="I45" s="1">
        <v>5211.07</v>
      </c>
      <c r="J45" s="1">
        <v>12935.38</v>
      </c>
      <c r="K45" s="1"/>
      <c r="L45" s="1"/>
      <c r="M45" s="1"/>
    </row>
    <row r="46" spans="1:13">
      <c r="A46" s="1" t="s">
        <v>52</v>
      </c>
      <c r="B46" s="1" t="s">
        <v>43</v>
      </c>
      <c r="C46" s="1" t="s">
        <v>54</v>
      </c>
      <c r="D46" s="1" t="s">
        <v>46</v>
      </c>
      <c r="E46" s="1" t="s">
        <v>53</v>
      </c>
      <c r="F46" s="1">
        <v>67581</v>
      </c>
      <c r="G46" s="1"/>
      <c r="H46" s="1">
        <v>74</v>
      </c>
      <c r="I46" s="1">
        <v>2797.72</v>
      </c>
      <c r="J46" s="1">
        <v>60764.51</v>
      </c>
      <c r="K46" s="1"/>
      <c r="L46" s="1"/>
      <c r="M46" s="1"/>
    </row>
    <row r="47" spans="1:13">
      <c r="A47" s="1" t="s">
        <v>37</v>
      </c>
      <c r="B47" s="1" t="s">
        <v>43</v>
      </c>
      <c r="C47" s="1" t="s">
        <v>39</v>
      </c>
      <c r="D47" s="1" t="s">
        <v>46</v>
      </c>
      <c r="E47" s="1" t="s">
        <v>50</v>
      </c>
      <c r="F47" s="1">
        <v>78526</v>
      </c>
      <c r="G47" s="1">
        <v>1106</v>
      </c>
      <c r="H47" s="1">
        <v>25</v>
      </c>
      <c r="I47" s="1">
        <v>6466.25</v>
      </c>
      <c r="J47" s="1">
        <v>20943.87</v>
      </c>
      <c r="K47" s="1">
        <v>530</v>
      </c>
      <c r="L47" s="1">
        <v>63</v>
      </c>
      <c r="M47" s="1">
        <v>23</v>
      </c>
    </row>
    <row r="48" spans="1:13">
      <c r="A48" s="1" t="s">
        <v>51</v>
      </c>
      <c r="B48" s="1" t="s">
        <v>44</v>
      </c>
      <c r="C48" s="1" t="s">
        <v>55</v>
      </c>
      <c r="D48" s="1" t="s">
        <v>46</v>
      </c>
      <c r="E48" s="1" t="s">
        <v>50</v>
      </c>
      <c r="F48" s="1">
        <v>62039</v>
      </c>
      <c r="G48" s="1">
        <v>433</v>
      </c>
      <c r="H48" s="1">
        <v>7</v>
      </c>
      <c r="I48" s="1">
        <v>4772.82</v>
      </c>
      <c r="J48" s="1">
        <v>4108.79</v>
      </c>
      <c r="K48" s="1">
        <v>197</v>
      </c>
      <c r="L48" s="1">
        <v>13</v>
      </c>
      <c r="M48" s="1">
        <v>11</v>
      </c>
    </row>
    <row r="49" spans="1:13">
      <c r="A49" s="1" t="s">
        <v>51</v>
      </c>
      <c r="B49" s="1" t="s">
        <v>38</v>
      </c>
      <c r="C49" s="1" t="s">
        <v>54</v>
      </c>
      <c r="D49" s="1" t="s">
        <v>46</v>
      </c>
      <c r="E49" s="1" t="s">
        <v>50</v>
      </c>
      <c r="F49" s="1">
        <v>55272</v>
      </c>
      <c r="G49" s="1">
        <v>594</v>
      </c>
      <c r="H49" s="1">
        <v>13</v>
      </c>
      <c r="I49" s="1">
        <v>8149.26</v>
      </c>
      <c r="J49" s="1">
        <v>14887.96</v>
      </c>
      <c r="K49" s="1">
        <v>184</v>
      </c>
      <c r="L49" s="1">
        <v>18</v>
      </c>
      <c r="M49" s="1">
        <v>18</v>
      </c>
    </row>
    <row r="50" spans="1:13">
      <c r="A50" s="1" t="s">
        <v>52</v>
      </c>
      <c r="B50" s="1" t="s">
        <v>48</v>
      </c>
      <c r="C50" s="1" t="s">
        <v>55</v>
      </c>
      <c r="D50" s="1" t="s">
        <v>40</v>
      </c>
      <c r="E50" s="1" t="s">
        <v>56</v>
      </c>
      <c r="F50" s="1"/>
      <c r="G50" s="1">
        <v>1931</v>
      </c>
      <c r="H50" s="1">
        <v>96</v>
      </c>
      <c r="I50" s="1">
        <v>3323.21</v>
      </c>
      <c r="J50" s="1">
        <v>120699.46</v>
      </c>
      <c r="K50" s="1"/>
      <c r="L50" s="1"/>
      <c r="M50" s="1"/>
    </row>
    <row r="51" spans="1:13">
      <c r="A51" s="1" t="s">
        <v>51</v>
      </c>
      <c r="B51" s="1" t="s">
        <v>48</v>
      </c>
      <c r="C51" s="1" t="s">
        <v>55</v>
      </c>
      <c r="D51" s="1" t="s">
        <v>46</v>
      </c>
      <c r="E51" s="1" t="s">
        <v>50</v>
      </c>
      <c r="F51" s="1">
        <v>69194</v>
      </c>
      <c r="G51" s="1">
        <v>684</v>
      </c>
      <c r="H51" s="1">
        <v>9</v>
      </c>
      <c r="I51" s="1"/>
      <c r="J51" s="1"/>
      <c r="K51" s="1">
        <v>300</v>
      </c>
      <c r="L51" s="1">
        <v>19</v>
      </c>
      <c r="M51" s="1">
        <v>20</v>
      </c>
    </row>
    <row r="52" spans="1:13">
      <c r="A52" s="1" t="s">
        <v>42</v>
      </c>
      <c r="B52" s="1" t="s">
        <v>48</v>
      </c>
      <c r="C52" s="1" t="s">
        <v>54</v>
      </c>
      <c r="D52" s="1" t="s">
        <v>46</v>
      </c>
      <c r="E52" s="1" t="s">
        <v>50</v>
      </c>
      <c r="F52" s="1">
        <v>55003</v>
      </c>
      <c r="G52" s="1">
        <v>501</v>
      </c>
      <c r="H52" s="1">
        <v>12</v>
      </c>
      <c r="I52" s="1">
        <v>7552.89</v>
      </c>
      <c r="J52" s="1">
        <v>6778.88</v>
      </c>
      <c r="K52" s="1">
        <v>184</v>
      </c>
      <c r="L52" s="1">
        <v>10</v>
      </c>
      <c r="M52" s="1">
        <v>17</v>
      </c>
    </row>
    <row r="53" spans="1:13">
      <c r="A53" s="1" t="s">
        <v>42</v>
      </c>
      <c r="B53" s="1" t="s">
        <v>48</v>
      </c>
      <c r="C53" s="1" t="s">
        <v>39</v>
      </c>
      <c r="D53" s="1" t="s">
        <v>46</v>
      </c>
      <c r="E53" s="1" t="s">
        <v>47</v>
      </c>
      <c r="F53" s="1">
        <v>29996</v>
      </c>
      <c r="G53" s="1">
        <v>305</v>
      </c>
      <c r="H53" s="1">
        <v>5</v>
      </c>
      <c r="I53" s="1">
        <v>3455.49</v>
      </c>
      <c r="J53" s="1">
        <v>2789.75</v>
      </c>
      <c r="K53" s="1">
        <v>107</v>
      </c>
      <c r="L53" s="1">
        <v>12</v>
      </c>
      <c r="M53" s="1">
        <v>12</v>
      </c>
    </row>
    <row r="54" spans="1:13">
      <c r="A54" s="1" t="s">
        <v>37</v>
      </c>
      <c r="B54" s="1" t="s">
        <v>48</v>
      </c>
      <c r="C54" s="1" t="s">
        <v>49</v>
      </c>
      <c r="D54" s="1" t="s">
        <v>46</v>
      </c>
      <c r="E54" s="1" t="s">
        <v>41</v>
      </c>
      <c r="F54" s="1">
        <v>57210</v>
      </c>
      <c r="G54" s="1">
        <v>1325</v>
      </c>
      <c r="H54" s="1">
        <v>22</v>
      </c>
      <c r="I54" s="1">
        <v>3025.61</v>
      </c>
      <c r="J54" s="1">
        <v>13139.99</v>
      </c>
      <c r="K54" s="1">
        <v>474</v>
      </c>
      <c r="L54" s="1">
        <v>64</v>
      </c>
      <c r="M54" s="1">
        <v>35</v>
      </c>
    </row>
    <row r="55" spans="1:13">
      <c r="A55" s="1" t="s">
        <v>42</v>
      </c>
      <c r="B55" s="1" t="s">
        <v>44</v>
      </c>
      <c r="C55" s="1" t="s">
        <v>55</v>
      </c>
      <c r="D55" s="1" t="s">
        <v>46</v>
      </c>
      <c r="E55" s="1" t="s">
        <v>47</v>
      </c>
      <c r="F55" s="1">
        <v>39270</v>
      </c>
      <c r="G55" s="1">
        <v>218</v>
      </c>
      <c r="H55" s="1">
        <v>5</v>
      </c>
      <c r="I55" s="1">
        <v>7870.04</v>
      </c>
      <c r="J55" s="1">
        <v>5577.51</v>
      </c>
      <c r="K55" s="1">
        <v>104</v>
      </c>
      <c r="L55" s="1">
        <v>8</v>
      </c>
      <c r="M55" s="1">
        <v>6</v>
      </c>
    </row>
    <row r="56" spans="1:13">
      <c r="A56" s="1" t="s">
        <v>37</v>
      </c>
      <c r="B56" s="1" t="s">
        <v>44</v>
      </c>
      <c r="C56" s="1" t="s">
        <v>54</v>
      </c>
      <c r="D56" s="1" t="s">
        <v>46</v>
      </c>
      <c r="E56" s="1" t="s">
        <v>47</v>
      </c>
      <c r="F56" s="1">
        <v>34323</v>
      </c>
      <c r="G56" s="1">
        <v>455</v>
      </c>
      <c r="H56" s="1">
        <v>14</v>
      </c>
      <c r="I56" s="1">
        <v>5535.41</v>
      </c>
      <c r="J56" s="1">
        <v>14496.56</v>
      </c>
      <c r="K56" s="1">
        <v>167</v>
      </c>
      <c r="L56" s="1">
        <v>11</v>
      </c>
      <c r="M56" s="1">
        <v>13</v>
      </c>
    </row>
    <row r="57" spans="1:13">
      <c r="A57" s="1" t="s">
        <v>51</v>
      </c>
      <c r="B57" s="1" t="s">
        <v>38</v>
      </c>
      <c r="C57" s="1" t="s">
        <v>55</v>
      </c>
      <c r="D57" s="1" t="s">
        <v>40</v>
      </c>
      <c r="E57" s="1" t="s">
        <v>50</v>
      </c>
      <c r="F57" s="1">
        <v>55264</v>
      </c>
      <c r="G57" s="1"/>
      <c r="H57" s="1">
        <v>14</v>
      </c>
      <c r="I57" s="1">
        <v>8549.69</v>
      </c>
      <c r="J57" s="1">
        <v>10050.719999999999</v>
      </c>
      <c r="K57" s="1">
        <v>351</v>
      </c>
      <c r="L57" s="1">
        <v>14</v>
      </c>
      <c r="M57" s="1">
        <v>12</v>
      </c>
    </row>
    <row r="58" spans="1:13">
      <c r="A58" s="1" t="s">
        <v>52</v>
      </c>
      <c r="B58" s="1" t="s">
        <v>48</v>
      </c>
      <c r="C58" s="1" t="s">
        <v>39</v>
      </c>
      <c r="D58" s="1" t="s">
        <v>46</v>
      </c>
      <c r="E58" s="1" t="s">
        <v>56</v>
      </c>
      <c r="F58" s="1">
        <v>71371</v>
      </c>
      <c r="G58" s="1">
        <v>1508</v>
      </c>
      <c r="H58" s="1">
        <v>55</v>
      </c>
      <c r="I58" s="1">
        <v>2924.39</v>
      </c>
      <c r="J58" s="1">
        <v>33928.370000000003</v>
      </c>
      <c r="K58" s="1"/>
      <c r="L58" s="1"/>
      <c r="M58" s="1"/>
    </row>
    <row r="59" spans="1:13">
      <c r="A59" s="1" t="s">
        <v>51</v>
      </c>
      <c r="B59" s="1" t="s">
        <v>48</v>
      </c>
      <c r="C59" s="1" t="s">
        <v>55</v>
      </c>
      <c r="D59" s="1" t="s">
        <v>46</v>
      </c>
      <c r="E59" s="1" t="s">
        <v>50</v>
      </c>
      <c r="F59" s="1">
        <v>30071</v>
      </c>
      <c r="G59" s="1">
        <v>264</v>
      </c>
      <c r="H59" s="1">
        <v>5</v>
      </c>
      <c r="I59" s="1">
        <v>7397.5</v>
      </c>
      <c r="J59" s="1">
        <v>4287.32</v>
      </c>
      <c r="K59" s="1">
        <v>120</v>
      </c>
      <c r="L59" s="1">
        <v>6</v>
      </c>
      <c r="M59" s="1">
        <v>6</v>
      </c>
    </row>
    <row r="60" spans="1:13">
      <c r="A60" s="1" t="s">
        <v>42</v>
      </c>
      <c r="B60" s="1" t="s">
        <v>43</v>
      </c>
      <c r="C60" s="1" t="s">
        <v>55</v>
      </c>
      <c r="D60" s="1" t="s">
        <v>40</v>
      </c>
      <c r="E60" s="1" t="s">
        <v>47</v>
      </c>
      <c r="F60" s="1">
        <v>24002</v>
      </c>
      <c r="G60" s="1">
        <v>247</v>
      </c>
      <c r="H60" s="1">
        <v>2</v>
      </c>
      <c r="I60" s="1">
        <v>7283.06</v>
      </c>
      <c r="J60" s="1">
        <v>1953.37</v>
      </c>
      <c r="K60" s="1">
        <v>101</v>
      </c>
      <c r="L60" s="1">
        <v>9</v>
      </c>
      <c r="M60" s="1">
        <v>7</v>
      </c>
    </row>
    <row r="61" spans="1:13">
      <c r="A61" s="1" t="s">
        <v>42</v>
      </c>
      <c r="B61" s="1" t="s">
        <v>38</v>
      </c>
      <c r="C61" s="1" t="s">
        <v>45</v>
      </c>
      <c r="D61" s="1" t="s">
        <v>40</v>
      </c>
      <c r="E61" s="1" t="s">
        <v>41</v>
      </c>
      <c r="F61" s="1">
        <v>55296</v>
      </c>
      <c r="G61" s="1">
        <v>459</v>
      </c>
      <c r="H61" s="1">
        <v>16</v>
      </c>
      <c r="I61" s="1">
        <v>7027.66</v>
      </c>
      <c r="J61" s="1">
        <v>9602.74</v>
      </c>
      <c r="K61" s="1">
        <v>194</v>
      </c>
      <c r="L61" s="1">
        <v>24</v>
      </c>
      <c r="M61" s="1">
        <v>14</v>
      </c>
    </row>
    <row r="62" spans="1:13">
      <c r="A62" s="1" t="s">
        <v>42</v>
      </c>
      <c r="B62" s="1" t="s">
        <v>44</v>
      </c>
      <c r="C62" s="1" t="s">
        <v>54</v>
      </c>
      <c r="D62" s="1" t="s">
        <v>46</v>
      </c>
      <c r="E62" s="1"/>
      <c r="F62" s="1">
        <v>11601</v>
      </c>
      <c r="G62" s="1">
        <v>66</v>
      </c>
      <c r="H62" s="1">
        <v>1</v>
      </c>
      <c r="I62" s="1">
        <v>4250.96</v>
      </c>
      <c r="J62" s="1">
        <v>767.89</v>
      </c>
      <c r="K62" s="1">
        <v>22</v>
      </c>
      <c r="L62" s="1">
        <v>1</v>
      </c>
      <c r="M62" s="1">
        <v>0</v>
      </c>
    </row>
    <row r="63" spans="1:13">
      <c r="A63" s="1" t="s">
        <v>52</v>
      </c>
      <c r="B63" s="1" t="s">
        <v>48</v>
      </c>
      <c r="C63" s="1" t="s">
        <v>39</v>
      </c>
      <c r="D63" s="1" t="s">
        <v>46</v>
      </c>
      <c r="E63" s="1" t="s">
        <v>56</v>
      </c>
      <c r="F63" s="1">
        <v>23071</v>
      </c>
      <c r="G63" s="1">
        <v>582</v>
      </c>
      <c r="H63" s="1"/>
      <c r="I63" s="1">
        <v>2237.3200000000002</v>
      </c>
      <c r="J63" s="1">
        <v>20335.84</v>
      </c>
      <c r="K63" s="1"/>
      <c r="L63" s="1"/>
      <c r="M63" s="1"/>
    </row>
    <row r="64" spans="1:13">
      <c r="A64" s="1" t="s">
        <v>42</v>
      </c>
      <c r="B64" s="1" t="s">
        <v>44</v>
      </c>
      <c r="C64" s="1" t="s">
        <v>54</v>
      </c>
      <c r="D64" s="1" t="s">
        <v>46</v>
      </c>
      <c r="E64" s="1" t="s">
        <v>50</v>
      </c>
      <c r="F64" s="1">
        <v>19143</v>
      </c>
      <c r="G64" s="1">
        <v>208</v>
      </c>
      <c r="H64" s="1">
        <v>6</v>
      </c>
      <c r="I64" s="1">
        <v>3656.98</v>
      </c>
      <c r="J64" s="1">
        <v>7237.99</v>
      </c>
      <c r="K64" s="1">
        <v>97</v>
      </c>
      <c r="L64" s="1">
        <v>8</v>
      </c>
      <c r="M64" s="1">
        <v>4</v>
      </c>
    </row>
    <row r="65" spans="1:13">
      <c r="A65" s="1" t="s">
        <v>52</v>
      </c>
      <c r="B65" s="1" t="s">
        <v>48</v>
      </c>
      <c r="C65" s="1" t="s">
        <v>54</v>
      </c>
      <c r="D65" s="1" t="s">
        <v>46</v>
      </c>
      <c r="E65" s="1" t="s">
        <v>56</v>
      </c>
      <c r="F65" s="1"/>
      <c r="G65" s="1">
        <v>531</v>
      </c>
      <c r="H65" s="1">
        <v>21</v>
      </c>
      <c r="I65" s="1">
        <v>5876.24</v>
      </c>
      <c r="J65" s="1">
        <v>29237.66</v>
      </c>
      <c r="K65" s="1"/>
      <c r="L65" s="1"/>
      <c r="M65" s="1"/>
    </row>
    <row r="66" spans="1:13">
      <c r="A66" s="1" t="s">
        <v>37</v>
      </c>
      <c r="B66" s="1" t="s">
        <v>38</v>
      </c>
      <c r="C66" s="1" t="s">
        <v>39</v>
      </c>
      <c r="D66" s="1" t="s">
        <v>40</v>
      </c>
      <c r="E66" s="1" t="s">
        <v>47</v>
      </c>
      <c r="F66" s="1">
        <v>56979</v>
      </c>
      <c r="G66" s="1">
        <v>892</v>
      </c>
      <c r="H66" s="1">
        <v>18</v>
      </c>
      <c r="I66" s="1">
        <v>4163.74</v>
      </c>
      <c r="J66" s="1">
        <v>18483</v>
      </c>
      <c r="K66" s="1">
        <v>407</v>
      </c>
      <c r="L66" s="1">
        <v>33</v>
      </c>
      <c r="M66" s="1">
        <v>31</v>
      </c>
    </row>
    <row r="67" spans="1:13">
      <c r="A67" s="1" t="s">
        <v>51</v>
      </c>
      <c r="B67" s="1" t="s">
        <v>43</v>
      </c>
      <c r="C67" s="1" t="s">
        <v>39</v>
      </c>
      <c r="D67" s="1" t="s">
        <v>46</v>
      </c>
      <c r="E67" s="1" t="s">
        <v>50</v>
      </c>
      <c r="F67" s="1">
        <v>26686</v>
      </c>
      <c r="G67" s="1">
        <v>373</v>
      </c>
      <c r="H67" s="1">
        <v>6</v>
      </c>
      <c r="I67" s="1">
        <v>5761.48</v>
      </c>
      <c r="J67" s="1">
        <v>8462.41</v>
      </c>
      <c r="K67" s="1">
        <v>154</v>
      </c>
      <c r="L67" s="1">
        <v>11</v>
      </c>
      <c r="M67" s="1">
        <v>11</v>
      </c>
    </row>
    <row r="68" spans="1:13">
      <c r="A68" s="1" t="s">
        <v>51</v>
      </c>
      <c r="B68" s="1" t="s">
        <v>48</v>
      </c>
      <c r="C68" s="1" t="s">
        <v>49</v>
      </c>
      <c r="D68" s="1" t="s">
        <v>46</v>
      </c>
      <c r="E68" s="1" t="s">
        <v>50</v>
      </c>
      <c r="F68" s="1">
        <v>64884</v>
      </c>
      <c r="G68" s="1">
        <v>752</v>
      </c>
      <c r="H68" s="1">
        <v>13</v>
      </c>
      <c r="I68" s="1">
        <v>6465.44</v>
      </c>
      <c r="J68" s="1">
        <v>16986.98</v>
      </c>
      <c r="K68" s="1">
        <v>365</v>
      </c>
      <c r="L68" s="1">
        <v>33</v>
      </c>
      <c r="M68" s="1">
        <v>29</v>
      </c>
    </row>
    <row r="69" spans="1:13">
      <c r="A69" s="1" t="s">
        <v>37</v>
      </c>
      <c r="B69" s="1" t="s">
        <v>38</v>
      </c>
      <c r="C69" s="1" t="s">
        <v>49</v>
      </c>
      <c r="D69" s="1" t="s">
        <v>46</v>
      </c>
      <c r="E69" s="1" t="s">
        <v>47</v>
      </c>
      <c r="F69" s="1">
        <v>17209</v>
      </c>
      <c r="G69" s="1">
        <v>226</v>
      </c>
      <c r="H69" s="1">
        <v>7</v>
      </c>
      <c r="I69" s="1">
        <v>7004.92</v>
      </c>
      <c r="J69" s="1">
        <v>4711.3500000000004</v>
      </c>
      <c r="K69" s="1">
        <v>72</v>
      </c>
      <c r="L69" s="1">
        <v>11</v>
      </c>
      <c r="M69" s="1">
        <v>6</v>
      </c>
    </row>
    <row r="70" spans="1:13">
      <c r="A70" s="1" t="s">
        <v>52</v>
      </c>
      <c r="B70" s="1" t="s">
        <v>38</v>
      </c>
      <c r="C70" s="1" t="s">
        <v>55</v>
      </c>
      <c r="D70" s="1" t="s">
        <v>40</v>
      </c>
      <c r="E70" s="1" t="s">
        <v>56</v>
      </c>
      <c r="F70" s="1">
        <v>66882</v>
      </c>
      <c r="G70" s="1">
        <v>2369</v>
      </c>
      <c r="H70" s="1">
        <v>48</v>
      </c>
      <c r="I70" s="1">
        <v>5512.22</v>
      </c>
      <c r="J70" s="1">
        <v>41680.410000000003</v>
      </c>
      <c r="K70" s="1"/>
      <c r="L70" s="1"/>
      <c r="M70" s="1"/>
    </row>
    <row r="71" spans="1:13">
      <c r="A71" s="1" t="s">
        <v>52</v>
      </c>
      <c r="B71" s="1" t="s">
        <v>43</v>
      </c>
      <c r="C71" s="1" t="s">
        <v>54</v>
      </c>
      <c r="D71" s="1" t="s">
        <v>40</v>
      </c>
      <c r="E71" s="1" t="s">
        <v>56</v>
      </c>
      <c r="F71" s="1">
        <v>16916</v>
      </c>
      <c r="G71" s="1">
        <v>561</v>
      </c>
      <c r="H71" s="1">
        <v>22</v>
      </c>
      <c r="I71" s="1">
        <v>5776.77</v>
      </c>
      <c r="J71" s="1">
        <v>13309.06</v>
      </c>
      <c r="K71" s="1"/>
      <c r="L71" s="1"/>
      <c r="M71" s="1"/>
    </row>
    <row r="72" spans="1:13">
      <c r="A72" s="1" t="s">
        <v>42</v>
      </c>
      <c r="B72" s="1" t="s">
        <v>44</v>
      </c>
      <c r="C72" s="1" t="s">
        <v>54</v>
      </c>
      <c r="D72" s="1" t="s">
        <v>40</v>
      </c>
      <c r="E72" s="1" t="s">
        <v>50</v>
      </c>
      <c r="F72" s="1">
        <v>34346</v>
      </c>
      <c r="G72" s="1">
        <v>217</v>
      </c>
      <c r="H72" s="1">
        <v>5</v>
      </c>
      <c r="I72" s="1">
        <v>5574.42</v>
      </c>
      <c r="J72" s="1">
        <v>2508.8000000000002</v>
      </c>
      <c r="K72" s="1">
        <v>107</v>
      </c>
      <c r="L72" s="1">
        <v>11</v>
      </c>
      <c r="M72" s="1">
        <v>3</v>
      </c>
    </row>
    <row r="73" spans="1:13">
      <c r="A73" s="1" t="s">
        <v>37</v>
      </c>
      <c r="B73" s="1" t="s">
        <v>44</v>
      </c>
      <c r="C73" s="1" t="s">
        <v>39</v>
      </c>
      <c r="D73" s="1" t="s">
        <v>40</v>
      </c>
      <c r="E73" s="1" t="s">
        <v>50</v>
      </c>
      <c r="F73" s="1">
        <v>19247</v>
      </c>
      <c r="G73" s="1">
        <v>265</v>
      </c>
      <c r="H73" s="1">
        <v>4</v>
      </c>
      <c r="I73" s="1">
        <v>3953.63</v>
      </c>
      <c r="J73" s="1">
        <v>5729.21</v>
      </c>
      <c r="K73" s="1">
        <v>127</v>
      </c>
      <c r="L73" s="1">
        <v>7</v>
      </c>
      <c r="M73" s="1">
        <v>5</v>
      </c>
    </row>
    <row r="74" spans="1:13">
      <c r="A74" s="1" t="s">
        <v>52</v>
      </c>
      <c r="B74" s="1" t="s">
        <v>38</v>
      </c>
      <c r="C74" s="1" t="s">
        <v>45</v>
      </c>
      <c r="D74" s="1" t="s">
        <v>40</v>
      </c>
      <c r="E74" s="1" t="s">
        <v>56</v>
      </c>
      <c r="F74" s="1">
        <v>70390</v>
      </c>
      <c r="G74" s="1">
        <v>2104</v>
      </c>
      <c r="H74" s="1">
        <v>71</v>
      </c>
      <c r="I74" s="1">
        <v>8791.68</v>
      </c>
      <c r="J74" s="1">
        <v>90099.86</v>
      </c>
      <c r="K74" s="1"/>
      <c r="L74" s="1"/>
      <c r="M74" s="1"/>
    </row>
    <row r="75" spans="1:13">
      <c r="A75" s="1" t="s">
        <v>37</v>
      </c>
      <c r="B75" s="1" t="s">
        <v>44</v>
      </c>
      <c r="C75" s="1" t="s">
        <v>49</v>
      </c>
      <c r="D75" s="1" t="s">
        <v>40</v>
      </c>
      <c r="E75" s="1" t="s">
        <v>47</v>
      </c>
      <c r="F75" s="1">
        <v>28453</v>
      </c>
      <c r="G75" s="1">
        <v>458</v>
      </c>
      <c r="H75" s="1">
        <v>14</v>
      </c>
      <c r="I75" s="1">
        <v>8193.0300000000007</v>
      </c>
      <c r="J75" s="1">
        <v>11303.31</v>
      </c>
      <c r="K75" s="1">
        <v>169</v>
      </c>
      <c r="L75" s="1">
        <v>13</v>
      </c>
      <c r="M75" s="1">
        <v>5</v>
      </c>
    </row>
    <row r="76" spans="1:13">
      <c r="A76" s="1" t="s">
        <v>37</v>
      </c>
      <c r="B76" s="1" t="s">
        <v>44</v>
      </c>
      <c r="C76" s="1" t="s">
        <v>54</v>
      </c>
      <c r="D76" s="1" t="s">
        <v>46</v>
      </c>
      <c r="E76" s="1" t="s">
        <v>50</v>
      </c>
      <c r="F76" s="1">
        <v>10459</v>
      </c>
      <c r="G76" s="1">
        <v>174</v>
      </c>
      <c r="H76" s="1">
        <v>4</v>
      </c>
      <c r="I76" s="1">
        <v>3361.35</v>
      </c>
      <c r="J76" s="1">
        <v>4764.34</v>
      </c>
      <c r="K76" s="1">
        <v>71</v>
      </c>
      <c r="L76" s="1">
        <v>5</v>
      </c>
      <c r="M76" s="1">
        <v>4</v>
      </c>
    </row>
    <row r="77" spans="1:13">
      <c r="A77" s="1" t="s">
        <v>51</v>
      </c>
      <c r="B77" s="1" t="s">
        <v>38</v>
      </c>
      <c r="C77" s="1" t="s">
        <v>54</v>
      </c>
      <c r="D77" s="1" t="s">
        <v>40</v>
      </c>
      <c r="E77" s="1" t="s">
        <v>50</v>
      </c>
      <c r="F77" s="1">
        <v>17419</v>
      </c>
      <c r="G77" s="1">
        <v>127</v>
      </c>
      <c r="H77" s="1">
        <v>1</v>
      </c>
      <c r="I77" s="1">
        <v>7630.68</v>
      </c>
      <c r="J77" s="1">
        <v>519.73</v>
      </c>
      <c r="K77" s="1">
        <v>56</v>
      </c>
      <c r="L77" s="1">
        <v>2</v>
      </c>
      <c r="M77" s="1">
        <v>2</v>
      </c>
    </row>
    <row r="78" spans="1:13">
      <c r="A78" s="1" t="s">
        <v>37</v>
      </c>
      <c r="B78" s="1" t="s">
        <v>43</v>
      </c>
      <c r="C78" s="1" t="s">
        <v>49</v>
      </c>
      <c r="D78" s="1" t="s">
        <v>46</v>
      </c>
      <c r="E78" s="1" t="s">
        <v>47</v>
      </c>
      <c r="F78" s="1">
        <v>50081</v>
      </c>
      <c r="G78" s="1">
        <v>702</v>
      </c>
      <c r="H78" s="1">
        <v>15</v>
      </c>
      <c r="I78" s="1">
        <v>7824.59</v>
      </c>
      <c r="J78" s="1">
        <v>14693.23</v>
      </c>
      <c r="K78" s="1">
        <v>214</v>
      </c>
      <c r="L78" s="1">
        <v>14</v>
      </c>
      <c r="M78" s="1">
        <v>14</v>
      </c>
    </row>
    <row r="79" spans="1:13">
      <c r="A79" s="1" t="s">
        <v>42</v>
      </c>
      <c r="B79" s="1" t="s">
        <v>38</v>
      </c>
      <c r="C79" s="1" t="s">
        <v>49</v>
      </c>
      <c r="D79" s="1" t="s">
        <v>46</v>
      </c>
      <c r="E79" s="1" t="s">
        <v>50</v>
      </c>
      <c r="F79" s="1">
        <v>72628</v>
      </c>
      <c r="G79" s="1">
        <v>834</v>
      </c>
      <c r="H79" s="1">
        <v>19</v>
      </c>
      <c r="I79" s="1">
        <v>2430.02</v>
      </c>
      <c r="J79" s="1">
        <v>17330.54</v>
      </c>
      <c r="K79" s="1">
        <v>256</v>
      </c>
      <c r="L79" s="1">
        <v>19</v>
      </c>
      <c r="M79" s="1">
        <v>10</v>
      </c>
    </row>
    <row r="80" spans="1:13">
      <c r="A80" s="1" t="s">
        <v>51</v>
      </c>
      <c r="B80" s="1" t="s">
        <v>43</v>
      </c>
      <c r="C80" s="1" t="s">
        <v>39</v>
      </c>
      <c r="D80" s="1" t="s">
        <v>40</v>
      </c>
      <c r="E80" s="1" t="s">
        <v>50</v>
      </c>
      <c r="F80" s="1">
        <v>13641</v>
      </c>
      <c r="G80" s="1">
        <v>71</v>
      </c>
      <c r="H80" s="1">
        <v>0</v>
      </c>
      <c r="I80" s="1">
        <v>7665.57</v>
      </c>
      <c r="J80" s="1">
        <v>0</v>
      </c>
      <c r="K80" s="1">
        <v>30</v>
      </c>
      <c r="L80" s="1">
        <v>1</v>
      </c>
      <c r="M80" s="1">
        <v>1</v>
      </c>
    </row>
    <row r="81" spans="1:13">
      <c r="A81" s="1" t="s">
        <v>42</v>
      </c>
      <c r="B81" s="1" t="s">
        <v>43</v>
      </c>
      <c r="C81" s="1" t="s">
        <v>54</v>
      </c>
      <c r="D81" s="1" t="s">
        <v>46</v>
      </c>
      <c r="E81" s="1" t="s">
        <v>50</v>
      </c>
      <c r="F81" s="1">
        <v>54393</v>
      </c>
      <c r="G81" s="1">
        <v>425</v>
      </c>
      <c r="H81" s="1">
        <v>10</v>
      </c>
      <c r="I81" s="1">
        <v>7890.49</v>
      </c>
      <c r="J81" s="1">
        <v>13111.38</v>
      </c>
      <c r="K81" s="1">
        <v>173</v>
      </c>
      <c r="L81" s="1">
        <v>18</v>
      </c>
      <c r="M81" s="1">
        <v>10</v>
      </c>
    </row>
    <row r="82" spans="1:13">
      <c r="A82" s="1" t="s">
        <v>42</v>
      </c>
      <c r="B82" s="1" t="s">
        <v>48</v>
      </c>
      <c r="C82" s="1" t="s">
        <v>49</v>
      </c>
      <c r="D82" s="1" t="s">
        <v>46</v>
      </c>
      <c r="E82" s="1" t="s">
        <v>50</v>
      </c>
      <c r="F82" s="1">
        <v>31817</v>
      </c>
      <c r="G82" s="1">
        <v>208</v>
      </c>
      <c r="H82" s="1">
        <v>5</v>
      </c>
      <c r="I82" s="1">
        <v>6477.4</v>
      </c>
      <c r="J82" s="1">
        <v>5969.65</v>
      </c>
      <c r="K82" s="1">
        <v>74</v>
      </c>
      <c r="L82" s="1">
        <v>4</v>
      </c>
      <c r="M82" s="1">
        <v>5</v>
      </c>
    </row>
    <row r="83" spans="1:13">
      <c r="A83" s="1" t="s">
        <v>42</v>
      </c>
      <c r="B83" s="1" t="s">
        <v>44</v>
      </c>
      <c r="C83" s="1" t="s">
        <v>45</v>
      </c>
      <c r="D83" s="1" t="s">
        <v>46</v>
      </c>
      <c r="E83" s="1" t="s">
        <v>50</v>
      </c>
      <c r="F83" s="1">
        <v>59759</v>
      </c>
      <c r="G83" s="1">
        <v>547</v>
      </c>
      <c r="H83" s="1">
        <v>11</v>
      </c>
      <c r="I83" s="1">
        <v>4070.73</v>
      </c>
      <c r="J83" s="1">
        <v>7644.28</v>
      </c>
      <c r="K83" s="1">
        <v>202</v>
      </c>
      <c r="L83" s="1">
        <v>13</v>
      </c>
      <c r="M83" s="1">
        <v>12</v>
      </c>
    </row>
    <row r="84" spans="1:13">
      <c r="A84" s="1" t="s">
        <v>52</v>
      </c>
      <c r="B84" s="1" t="s">
        <v>38</v>
      </c>
      <c r="C84" s="1" t="s">
        <v>45</v>
      </c>
      <c r="D84" s="1" t="s">
        <v>40</v>
      </c>
      <c r="E84" s="1" t="s">
        <v>56</v>
      </c>
      <c r="F84" s="1">
        <v>69985</v>
      </c>
      <c r="G84" s="1">
        <v>2959</v>
      </c>
      <c r="H84" s="1">
        <v>104</v>
      </c>
      <c r="I84" s="1">
        <v>2649.93</v>
      </c>
      <c r="J84" s="1">
        <v>52550.21</v>
      </c>
      <c r="K84" s="1"/>
      <c r="L84" s="1"/>
      <c r="M84" s="1"/>
    </row>
    <row r="85" spans="1:13">
      <c r="A85" s="1" t="s">
        <v>58</v>
      </c>
      <c r="B85" s="1" t="s">
        <v>38</v>
      </c>
      <c r="C85" s="1" t="s">
        <v>45</v>
      </c>
      <c r="D85" s="1" t="s">
        <v>46</v>
      </c>
      <c r="E85" s="1" t="s">
        <v>50</v>
      </c>
      <c r="F85" s="1">
        <v>14708</v>
      </c>
      <c r="G85" s="1">
        <v>206</v>
      </c>
      <c r="H85" s="1">
        <v>5</v>
      </c>
      <c r="I85" s="1">
        <v>2631.13</v>
      </c>
      <c r="J85" s="1">
        <v>3492.09</v>
      </c>
      <c r="K85" s="1">
        <v>100</v>
      </c>
      <c r="L85" s="1">
        <v>9</v>
      </c>
      <c r="M85" s="1">
        <v>6</v>
      </c>
    </row>
    <row r="86" spans="1:13">
      <c r="A86" s="1" t="s">
        <v>52</v>
      </c>
      <c r="B86" s="1" t="s">
        <v>48</v>
      </c>
      <c r="C86" s="1" t="s">
        <v>55</v>
      </c>
      <c r="D86" s="1" t="s">
        <v>46</v>
      </c>
      <c r="E86" s="1" t="s">
        <v>53</v>
      </c>
      <c r="F86" s="1">
        <v>39026</v>
      </c>
      <c r="G86" s="1">
        <v>884</v>
      </c>
      <c r="H86" s="1">
        <v>41</v>
      </c>
      <c r="I86" s="1">
        <v>5578.51</v>
      </c>
      <c r="J86" s="1">
        <v>25143.38</v>
      </c>
      <c r="K86" s="1"/>
      <c r="L86" s="1"/>
      <c r="M86" s="1"/>
    </row>
    <row r="87" spans="1:13">
      <c r="A87" s="1" t="s">
        <v>42</v>
      </c>
      <c r="B87" s="1"/>
      <c r="C87" s="1" t="s">
        <v>54</v>
      </c>
      <c r="D87" s="1" t="s">
        <v>46</v>
      </c>
      <c r="E87" s="1" t="s">
        <v>47</v>
      </c>
      <c r="F87" s="1">
        <v>58009</v>
      </c>
      <c r="G87" s="1">
        <v>366</v>
      </c>
      <c r="H87" s="1">
        <v>6</v>
      </c>
      <c r="I87" s="1">
        <v>8333.7000000000007</v>
      </c>
      <c r="J87" s="1">
        <v>4533.9799999999996</v>
      </c>
      <c r="K87" s="1">
        <v>116</v>
      </c>
      <c r="L87" s="1">
        <v>13</v>
      </c>
      <c r="M87" s="1">
        <v>11</v>
      </c>
    </row>
    <row r="88" spans="1:13">
      <c r="A88" s="1" t="s">
        <v>42</v>
      </c>
      <c r="B88" s="1" t="s">
        <v>43</v>
      </c>
      <c r="C88" s="1" t="s">
        <v>39</v>
      </c>
      <c r="D88" s="1" t="s">
        <v>59</v>
      </c>
      <c r="E88" s="1" t="s">
        <v>47</v>
      </c>
      <c r="F88" s="1">
        <v>62388</v>
      </c>
      <c r="G88" s="1">
        <v>424</v>
      </c>
      <c r="H88" s="1">
        <v>7</v>
      </c>
      <c r="I88" s="1">
        <v>6537.47</v>
      </c>
      <c r="J88" s="1">
        <v>6970.71</v>
      </c>
      <c r="K88" s="1">
        <v>200</v>
      </c>
      <c r="L88" s="1">
        <v>19</v>
      </c>
      <c r="M88" s="1">
        <v>13</v>
      </c>
    </row>
    <row r="89" spans="1:13">
      <c r="A89" s="1" t="s">
        <v>52</v>
      </c>
      <c r="B89" s="1" t="s">
        <v>43</v>
      </c>
      <c r="C89" s="1" t="s">
        <v>49</v>
      </c>
      <c r="D89" s="1" t="s">
        <v>46</v>
      </c>
      <c r="E89" s="1" t="s">
        <v>53</v>
      </c>
      <c r="F89" s="1">
        <v>77582</v>
      </c>
      <c r="G89" s="1">
        <v>3179</v>
      </c>
      <c r="H89" s="1">
        <v>88</v>
      </c>
      <c r="I89" s="1">
        <v>5059.8599999999997</v>
      </c>
      <c r="J89" s="1">
        <v>76768.429999999993</v>
      </c>
      <c r="K89" s="1"/>
      <c r="L89" s="1"/>
      <c r="M89" s="1"/>
    </row>
    <row r="90" spans="1:13">
      <c r="A90" s="1" t="s">
        <v>42</v>
      </c>
      <c r="B90" s="1" t="s">
        <v>43</v>
      </c>
      <c r="C90" s="1" t="s">
        <v>39</v>
      </c>
      <c r="D90" s="1" t="s">
        <v>46</v>
      </c>
      <c r="E90" s="1" t="s">
        <v>47</v>
      </c>
      <c r="F90" s="1">
        <v>27064</v>
      </c>
      <c r="G90" s="1">
        <v>256</v>
      </c>
      <c r="H90" s="1">
        <v>4</v>
      </c>
      <c r="I90" s="1">
        <v>5868.19</v>
      </c>
      <c r="J90" s="1">
        <v>3123.69</v>
      </c>
      <c r="K90" s="1">
        <v>114</v>
      </c>
      <c r="L90" s="1">
        <v>8</v>
      </c>
      <c r="M90" s="1">
        <v>8</v>
      </c>
    </row>
    <row r="91" spans="1:13">
      <c r="A91" s="1" t="s">
        <v>37</v>
      </c>
      <c r="B91" s="1" t="s">
        <v>43</v>
      </c>
      <c r="C91" s="1" t="s">
        <v>39</v>
      </c>
      <c r="D91" s="1" t="s">
        <v>40</v>
      </c>
      <c r="E91" s="1" t="s">
        <v>47</v>
      </c>
      <c r="F91" s="1">
        <v>11543</v>
      </c>
      <c r="G91" s="1">
        <v>116</v>
      </c>
      <c r="H91" s="1"/>
      <c r="I91" s="1">
        <v>3584.52</v>
      </c>
      <c r="J91" s="1">
        <v>2097.7600000000002</v>
      </c>
      <c r="K91" s="1">
        <v>39</v>
      </c>
      <c r="L91" s="1">
        <v>5</v>
      </c>
      <c r="M91" s="1">
        <v>2</v>
      </c>
    </row>
    <row r="92" spans="1:13">
      <c r="A92" s="1" t="s">
        <v>42</v>
      </c>
      <c r="B92" s="1" t="s">
        <v>48</v>
      </c>
      <c r="C92" s="1" t="s">
        <v>49</v>
      </c>
      <c r="D92" s="1" t="s">
        <v>46</v>
      </c>
      <c r="E92" s="1" t="s">
        <v>50</v>
      </c>
      <c r="F92" s="1">
        <v>37236</v>
      </c>
      <c r="G92" s="1">
        <v>258</v>
      </c>
      <c r="H92" s="1">
        <v>6</v>
      </c>
      <c r="I92" s="1">
        <v>6475.38</v>
      </c>
      <c r="J92" s="1">
        <v>7341.8</v>
      </c>
      <c r="K92" s="1">
        <v>87</v>
      </c>
      <c r="L92" s="1">
        <v>13</v>
      </c>
      <c r="M92" s="1">
        <v>4</v>
      </c>
    </row>
    <row r="93" spans="1:13">
      <c r="A93" s="1" t="s">
        <v>52</v>
      </c>
      <c r="B93" s="1" t="s">
        <v>43</v>
      </c>
      <c r="C93" s="1" t="s">
        <v>45</v>
      </c>
      <c r="D93" s="1" t="s">
        <v>40</v>
      </c>
      <c r="E93" s="1" t="s">
        <v>53</v>
      </c>
      <c r="F93" s="1">
        <v>17805</v>
      </c>
      <c r="G93" s="1">
        <v>274</v>
      </c>
      <c r="H93" s="1">
        <v>10</v>
      </c>
      <c r="I93" s="1">
        <v>8729.1</v>
      </c>
      <c r="J93" s="1">
        <v>7127.27</v>
      </c>
      <c r="K93" s="1"/>
      <c r="L93" s="1"/>
      <c r="M93" s="1"/>
    </row>
    <row r="94" spans="1:13">
      <c r="A94" s="1" t="s">
        <v>42</v>
      </c>
      <c r="B94" s="1" t="s">
        <v>38</v>
      </c>
      <c r="C94" s="1" t="s">
        <v>39</v>
      </c>
      <c r="D94" s="1" t="s">
        <v>40</v>
      </c>
      <c r="E94" s="1" t="s">
        <v>50</v>
      </c>
      <c r="F94" s="1">
        <v>52673</v>
      </c>
      <c r="G94" s="1">
        <v>270</v>
      </c>
      <c r="H94" s="1">
        <v>7</v>
      </c>
      <c r="I94" s="1">
        <v>6395.92</v>
      </c>
      <c r="J94" s="1">
        <v>9214.57</v>
      </c>
      <c r="K94" s="1">
        <v>103</v>
      </c>
      <c r="L94" s="1">
        <v>14</v>
      </c>
      <c r="M94" s="1">
        <v>4</v>
      </c>
    </row>
    <row r="95" spans="1:13">
      <c r="A95" s="1" t="s">
        <v>51</v>
      </c>
      <c r="B95" s="1" t="s">
        <v>44</v>
      </c>
      <c r="C95" s="1" t="s">
        <v>54</v>
      </c>
      <c r="D95" s="1" t="s">
        <v>46</v>
      </c>
      <c r="E95" s="1" t="s">
        <v>50</v>
      </c>
      <c r="F95" s="1">
        <v>70199</v>
      </c>
      <c r="G95" s="1">
        <v>671</v>
      </c>
      <c r="H95" s="1">
        <v>15</v>
      </c>
      <c r="I95" s="1">
        <v>8883.98</v>
      </c>
      <c r="J95" s="1">
        <v>12530.77</v>
      </c>
      <c r="K95" s="1">
        <v>205</v>
      </c>
      <c r="L95" s="1">
        <v>40</v>
      </c>
      <c r="M95" s="1">
        <v>20</v>
      </c>
    </row>
    <row r="96" spans="1:13">
      <c r="A96" s="1" t="s">
        <v>52</v>
      </c>
      <c r="B96" s="1" t="s">
        <v>38</v>
      </c>
      <c r="C96" s="1" t="s">
        <v>55</v>
      </c>
      <c r="D96" s="1" t="s">
        <v>40</v>
      </c>
      <c r="E96" s="1" t="s">
        <v>53</v>
      </c>
      <c r="F96" s="1"/>
      <c r="G96" s="1">
        <v>560</v>
      </c>
      <c r="H96" s="1">
        <v>21</v>
      </c>
      <c r="I96" s="1">
        <v>3324.11</v>
      </c>
      <c r="J96" s="1">
        <v>17009.11</v>
      </c>
      <c r="K96" s="1"/>
      <c r="L96" s="1"/>
      <c r="M96" s="1"/>
    </row>
    <row r="97" spans="1:13">
      <c r="A97" s="1" t="s">
        <v>42</v>
      </c>
      <c r="B97" s="1" t="s">
        <v>38</v>
      </c>
      <c r="C97" s="1" t="s">
        <v>49</v>
      </c>
      <c r="D97" s="1" t="s">
        <v>46</v>
      </c>
      <c r="E97" s="1" t="s">
        <v>50</v>
      </c>
      <c r="F97" s="1">
        <v>10925</v>
      </c>
      <c r="G97" s="1">
        <v>87</v>
      </c>
      <c r="H97" s="1">
        <v>2</v>
      </c>
      <c r="I97" s="1">
        <v>4155.63</v>
      </c>
      <c r="J97" s="1">
        <v>1302.97</v>
      </c>
      <c r="K97" s="1">
        <v>37</v>
      </c>
      <c r="L97" s="1">
        <v>1</v>
      </c>
      <c r="M97" s="1">
        <v>2</v>
      </c>
    </row>
    <row r="98" spans="1:13">
      <c r="A98" s="1" t="s">
        <v>51</v>
      </c>
      <c r="B98" s="1" t="s">
        <v>48</v>
      </c>
      <c r="C98" s="1" t="s">
        <v>54</v>
      </c>
      <c r="D98" s="1" t="s">
        <v>40</v>
      </c>
      <c r="E98" s="1" t="s">
        <v>60</v>
      </c>
      <c r="F98" s="1">
        <v>25192</v>
      </c>
      <c r="G98" s="1">
        <v>189</v>
      </c>
      <c r="H98" s="1">
        <v>2</v>
      </c>
      <c r="I98" s="1">
        <v>8228.1299999999992</v>
      </c>
      <c r="J98" s="1">
        <v>1316.47</v>
      </c>
      <c r="K98" s="1">
        <v>67</v>
      </c>
      <c r="L98" s="1">
        <v>7</v>
      </c>
      <c r="M98" s="1">
        <v>3</v>
      </c>
    </row>
    <row r="99" spans="1:13">
      <c r="A99" s="1" t="s">
        <v>42</v>
      </c>
      <c r="B99" s="1" t="s">
        <v>38</v>
      </c>
      <c r="C99" s="1" t="s">
        <v>39</v>
      </c>
      <c r="D99" s="1" t="s">
        <v>46</v>
      </c>
      <c r="E99" s="1" t="s">
        <v>50</v>
      </c>
      <c r="F99" s="1"/>
      <c r="G99" s="1">
        <v>369</v>
      </c>
      <c r="H99" s="1">
        <v>5</v>
      </c>
      <c r="I99" s="1">
        <v>4568.63</v>
      </c>
      <c r="J99" s="1">
        <v>4016.84</v>
      </c>
      <c r="K99" s="1">
        <v>133</v>
      </c>
      <c r="L99" s="1">
        <v>11</v>
      </c>
      <c r="M99" s="1">
        <v>13</v>
      </c>
    </row>
    <row r="100" spans="1:13">
      <c r="A100" s="1" t="s">
        <v>42</v>
      </c>
      <c r="B100" s="1" t="s">
        <v>48</v>
      </c>
      <c r="C100" s="1" t="s">
        <v>54</v>
      </c>
      <c r="D100" s="1" t="s">
        <v>40</v>
      </c>
      <c r="E100" s="1" t="s">
        <v>41</v>
      </c>
      <c r="F100" s="1">
        <v>49157</v>
      </c>
      <c r="G100" s="1">
        <v>407</v>
      </c>
      <c r="H100" s="1">
        <v>11</v>
      </c>
      <c r="I100" s="1">
        <v>8768.82</v>
      </c>
      <c r="J100" s="1">
        <v>12631.07</v>
      </c>
      <c r="K100" s="1">
        <v>147</v>
      </c>
      <c r="L100" s="1">
        <v>21</v>
      </c>
      <c r="M100" s="1">
        <v>13</v>
      </c>
    </row>
    <row r="101" spans="1:13">
      <c r="A101" s="1" t="s">
        <v>52</v>
      </c>
      <c r="B101" s="1" t="s">
        <v>48</v>
      </c>
      <c r="C101" s="1" t="s">
        <v>39</v>
      </c>
      <c r="D101" s="1" t="s">
        <v>46</v>
      </c>
      <c r="E101" s="1" t="s">
        <v>56</v>
      </c>
      <c r="F101" s="1">
        <v>75475</v>
      </c>
      <c r="G101" s="1">
        <v>2162</v>
      </c>
      <c r="H101" s="1">
        <v>73</v>
      </c>
      <c r="I101" s="1"/>
      <c r="J101" s="1">
        <v>93407.32</v>
      </c>
      <c r="K101" s="1"/>
      <c r="L101" s="1"/>
      <c r="M101" s="1"/>
    </row>
    <row r="102" spans="1:13">
      <c r="A102" s="1" t="s">
        <v>42</v>
      </c>
      <c r="B102" s="1" t="s">
        <v>48</v>
      </c>
      <c r="C102" s="1" t="s">
        <v>39</v>
      </c>
      <c r="D102" s="1" t="s">
        <v>40</v>
      </c>
      <c r="E102" s="1" t="s">
        <v>41</v>
      </c>
      <c r="F102" s="1">
        <v>13040</v>
      </c>
      <c r="G102" s="1">
        <v>92</v>
      </c>
      <c r="H102" s="1">
        <v>1</v>
      </c>
      <c r="I102" s="1">
        <v>8195.56</v>
      </c>
      <c r="J102" s="1">
        <v>661.25</v>
      </c>
      <c r="K102" s="1">
        <v>39</v>
      </c>
      <c r="L102" s="1">
        <v>4</v>
      </c>
      <c r="M102" s="1">
        <v>1</v>
      </c>
    </row>
    <row r="103" spans="1:13">
      <c r="A103" s="1" t="s">
        <v>51</v>
      </c>
      <c r="B103" s="1" t="s">
        <v>43</v>
      </c>
      <c r="C103" s="1" t="s">
        <v>39</v>
      </c>
      <c r="D103" s="1" t="s">
        <v>40</v>
      </c>
      <c r="E103" s="1" t="s">
        <v>50</v>
      </c>
      <c r="F103" s="1">
        <v>39235</v>
      </c>
      <c r="G103" s="1">
        <v>392</v>
      </c>
      <c r="H103" s="1">
        <v>7</v>
      </c>
      <c r="I103" s="1">
        <v>7640.02</v>
      </c>
      <c r="J103" s="1">
        <v>8400.59</v>
      </c>
      <c r="K103" s="1">
        <v>123</v>
      </c>
      <c r="L103" s="1">
        <v>21</v>
      </c>
      <c r="M103" s="1">
        <v>13</v>
      </c>
    </row>
    <row r="104" spans="1:13">
      <c r="A104" s="1" t="s">
        <v>51</v>
      </c>
      <c r="B104" s="1" t="s">
        <v>38</v>
      </c>
      <c r="C104" s="1" t="s">
        <v>54</v>
      </c>
      <c r="D104" s="1" t="s">
        <v>46</v>
      </c>
      <c r="E104" s="1" t="s">
        <v>50</v>
      </c>
      <c r="F104" s="1">
        <v>17652</v>
      </c>
      <c r="G104" s="1">
        <v>172</v>
      </c>
      <c r="H104" s="1">
        <v>3</v>
      </c>
      <c r="I104" s="1">
        <v>4513.43</v>
      </c>
      <c r="J104" s="1">
        <v>1548.63</v>
      </c>
      <c r="K104" s="1">
        <v>52</v>
      </c>
      <c r="L104" s="1">
        <v>7</v>
      </c>
      <c r="M104" s="1">
        <v>4</v>
      </c>
    </row>
    <row r="105" spans="1:13">
      <c r="A105" s="1" t="s">
        <v>52</v>
      </c>
      <c r="B105" s="1" t="s">
        <v>43</v>
      </c>
      <c r="C105" s="1" t="s">
        <v>39</v>
      </c>
      <c r="D105" s="1" t="s">
        <v>40</v>
      </c>
      <c r="E105" s="1" t="s">
        <v>56</v>
      </c>
      <c r="F105" s="1">
        <v>13724</v>
      </c>
      <c r="G105" s="1">
        <v>254</v>
      </c>
      <c r="H105" s="1">
        <v>3</v>
      </c>
      <c r="I105" s="1">
        <v>2179.9</v>
      </c>
      <c r="J105" s="1">
        <v>2716.21</v>
      </c>
      <c r="K105" s="1"/>
      <c r="L105" s="1"/>
      <c r="M105" s="1"/>
    </row>
    <row r="106" spans="1:13">
      <c r="A106" s="1" t="s">
        <v>52</v>
      </c>
      <c r="B106" s="1" t="s">
        <v>43</v>
      </c>
      <c r="C106" s="1" t="s">
        <v>39</v>
      </c>
      <c r="D106" s="1" t="s">
        <v>40</v>
      </c>
      <c r="E106" s="1" t="s">
        <v>56</v>
      </c>
      <c r="F106" s="1">
        <v>14667</v>
      </c>
      <c r="G106" s="1">
        <v>383</v>
      </c>
      <c r="H106" s="1">
        <v>8</v>
      </c>
      <c r="I106" s="1">
        <v>8986.5400000000009</v>
      </c>
      <c r="J106" s="1">
        <v>6161.86</v>
      </c>
      <c r="K106" s="1"/>
      <c r="L106" s="1"/>
      <c r="M106" s="1"/>
    </row>
    <row r="107" spans="1:13">
      <c r="A107" s="1" t="s">
        <v>37</v>
      </c>
      <c r="B107" s="1" t="s">
        <v>44</v>
      </c>
      <c r="C107" s="1" t="s">
        <v>49</v>
      </c>
      <c r="D107" s="1" t="s">
        <v>40</v>
      </c>
      <c r="E107" s="1" t="s">
        <v>50</v>
      </c>
      <c r="F107" s="1">
        <v>12903</v>
      </c>
      <c r="G107" s="1"/>
      <c r="H107" s="1">
        <v>8</v>
      </c>
      <c r="I107" s="1">
        <v>8782.74</v>
      </c>
      <c r="J107" s="1">
        <v>9199.49</v>
      </c>
      <c r="K107" s="1">
        <v>121</v>
      </c>
      <c r="L107" s="1">
        <v>14</v>
      </c>
      <c r="M107" s="1">
        <v>4</v>
      </c>
    </row>
    <row r="108" spans="1:13">
      <c r="A108" s="1" t="s">
        <v>42</v>
      </c>
      <c r="B108" s="1" t="s">
        <v>43</v>
      </c>
      <c r="C108" s="1" t="s">
        <v>45</v>
      </c>
      <c r="D108" s="1" t="s">
        <v>40</v>
      </c>
      <c r="E108" s="1" t="s">
        <v>47</v>
      </c>
      <c r="F108" s="1">
        <v>43530</v>
      </c>
      <c r="G108" s="1">
        <v>226</v>
      </c>
      <c r="H108" s="1">
        <v>5</v>
      </c>
      <c r="I108" s="1">
        <v>3595.96</v>
      </c>
      <c r="J108" s="1">
        <v>6154.93</v>
      </c>
      <c r="K108" s="1">
        <v>97</v>
      </c>
      <c r="L108" s="1">
        <v>6</v>
      </c>
      <c r="M108" s="1">
        <v>3</v>
      </c>
    </row>
    <row r="109" spans="1:13">
      <c r="A109" s="1" t="s">
        <v>37</v>
      </c>
      <c r="B109" s="1" t="s">
        <v>48</v>
      </c>
      <c r="C109" s="1" t="s">
        <v>49</v>
      </c>
      <c r="D109" s="1" t="s">
        <v>46</v>
      </c>
      <c r="E109" s="1" t="s">
        <v>47</v>
      </c>
      <c r="F109" s="1">
        <v>48856</v>
      </c>
      <c r="G109" s="1">
        <v>927</v>
      </c>
      <c r="H109" s="1">
        <v>10</v>
      </c>
      <c r="I109" s="1">
        <v>4189.43</v>
      </c>
      <c r="J109" s="1">
        <v>12592.39</v>
      </c>
      <c r="K109" s="1">
        <v>337</v>
      </c>
      <c r="L109" s="1">
        <v>37</v>
      </c>
      <c r="M109" s="1">
        <v>25</v>
      </c>
    </row>
    <row r="110" spans="1:13">
      <c r="A110" s="1" t="s">
        <v>51</v>
      </c>
      <c r="B110" s="1" t="s">
        <v>44</v>
      </c>
      <c r="C110" s="1" t="s">
        <v>45</v>
      </c>
      <c r="D110" s="1" t="s">
        <v>40</v>
      </c>
      <c r="E110" s="1" t="s">
        <v>50</v>
      </c>
      <c r="F110" s="1">
        <v>66295</v>
      </c>
      <c r="G110" s="1">
        <v>591</v>
      </c>
      <c r="H110" s="1">
        <v>16</v>
      </c>
      <c r="I110" s="1">
        <v>3866.21</v>
      </c>
      <c r="J110" s="1">
        <v>18403.7</v>
      </c>
      <c r="K110" s="1">
        <v>236</v>
      </c>
      <c r="L110" s="1">
        <v>22</v>
      </c>
      <c r="M110" s="1">
        <v>18</v>
      </c>
    </row>
    <row r="111" spans="1:13">
      <c r="A111" s="1" t="s">
        <v>37</v>
      </c>
      <c r="B111" s="1" t="s">
        <v>44</v>
      </c>
      <c r="C111" s="1" t="s">
        <v>55</v>
      </c>
      <c r="D111" s="1" t="s">
        <v>40</v>
      </c>
      <c r="E111" s="1" t="s">
        <v>41</v>
      </c>
      <c r="F111" s="1"/>
      <c r="G111" s="1">
        <v>1075</v>
      </c>
      <c r="H111" s="1">
        <v>20</v>
      </c>
      <c r="I111" s="1">
        <v>2086.5300000000002</v>
      </c>
      <c r="J111" s="1">
        <v>26272.43</v>
      </c>
      <c r="K111" s="1">
        <v>443</v>
      </c>
      <c r="L111" s="1">
        <v>47</v>
      </c>
      <c r="M111" s="1">
        <v>17</v>
      </c>
    </row>
    <row r="112" spans="1:13">
      <c r="A112" s="1" t="s">
        <v>42</v>
      </c>
      <c r="B112" s="1" t="s">
        <v>43</v>
      </c>
      <c r="C112" s="1" t="s">
        <v>39</v>
      </c>
      <c r="D112" s="1" t="s">
        <v>40</v>
      </c>
      <c r="E112" s="1" t="s">
        <v>47</v>
      </c>
      <c r="F112" s="1">
        <v>35034</v>
      </c>
      <c r="G112" s="1">
        <v>376</v>
      </c>
      <c r="H112" s="1">
        <v>5</v>
      </c>
      <c r="I112" s="1">
        <v>8436.7900000000009</v>
      </c>
      <c r="J112" s="1">
        <v>4376.05</v>
      </c>
      <c r="K112" s="1">
        <v>128</v>
      </c>
      <c r="L112" s="1">
        <v>19</v>
      </c>
      <c r="M112" s="1">
        <v>5</v>
      </c>
    </row>
    <row r="113" spans="1:13">
      <c r="A113" s="1" t="s">
        <v>51</v>
      </c>
      <c r="B113" s="1" t="s">
        <v>48</v>
      </c>
      <c r="C113" s="1" t="s">
        <v>45</v>
      </c>
      <c r="D113" s="1" t="s">
        <v>46</v>
      </c>
      <c r="E113" s="1" t="s">
        <v>50</v>
      </c>
      <c r="F113" s="1">
        <v>15530</v>
      </c>
      <c r="G113" s="1">
        <v>185</v>
      </c>
      <c r="H113" s="1"/>
      <c r="I113" s="1"/>
      <c r="J113" s="1">
        <v>3149.11</v>
      </c>
      <c r="K113" s="1">
        <v>74</v>
      </c>
      <c r="L113" s="1">
        <v>10</v>
      </c>
      <c r="M113" s="1">
        <v>5</v>
      </c>
    </row>
    <row r="114" spans="1:13">
      <c r="A114" s="1" t="s">
        <v>52</v>
      </c>
      <c r="B114" s="1" t="s">
        <v>48</v>
      </c>
      <c r="C114" s="1" t="s">
        <v>49</v>
      </c>
      <c r="D114" s="1" t="s">
        <v>59</v>
      </c>
      <c r="E114" s="1" t="s">
        <v>53</v>
      </c>
      <c r="F114" s="1">
        <v>25738</v>
      </c>
      <c r="G114" s="1">
        <v>852</v>
      </c>
      <c r="H114" s="1">
        <v>34</v>
      </c>
      <c r="I114" s="1">
        <v>4304.62</v>
      </c>
      <c r="J114" s="1">
        <v>39599.11</v>
      </c>
      <c r="K114" s="1"/>
      <c r="L114" s="1"/>
      <c r="M114" s="1"/>
    </row>
    <row r="115" spans="1:13">
      <c r="A115" s="1" t="s">
        <v>42</v>
      </c>
      <c r="B115" s="1" t="s">
        <v>38</v>
      </c>
      <c r="C115" s="1" t="s">
        <v>49</v>
      </c>
      <c r="D115" s="1" t="s">
        <v>46</v>
      </c>
      <c r="E115" s="1" t="s">
        <v>41</v>
      </c>
      <c r="F115" s="1">
        <v>74410</v>
      </c>
      <c r="G115" s="1">
        <v>722</v>
      </c>
      <c r="H115" s="1">
        <v>18</v>
      </c>
      <c r="I115" s="1">
        <v>6028.89</v>
      </c>
      <c r="J115" s="1">
        <v>17674.2</v>
      </c>
      <c r="K115" s="1">
        <v>318</v>
      </c>
      <c r="L115" s="1">
        <v>32</v>
      </c>
      <c r="M115" s="1">
        <v>7</v>
      </c>
    </row>
    <row r="116" spans="1:13">
      <c r="A116" s="1" t="s">
        <v>37</v>
      </c>
      <c r="B116" s="1" t="s">
        <v>38</v>
      </c>
      <c r="C116" s="1" t="s">
        <v>54</v>
      </c>
      <c r="D116" s="1" t="s">
        <v>40</v>
      </c>
      <c r="E116" s="1" t="s">
        <v>50</v>
      </c>
      <c r="F116" s="1">
        <v>21317</v>
      </c>
      <c r="G116" s="1">
        <v>240</v>
      </c>
      <c r="H116" s="1">
        <v>8</v>
      </c>
      <c r="I116" s="1">
        <v>7621.52</v>
      </c>
      <c r="J116" s="1">
        <v>8690.57</v>
      </c>
      <c r="K116" s="1">
        <v>83</v>
      </c>
      <c r="L116" s="1">
        <v>14</v>
      </c>
      <c r="M116" s="1">
        <v>6</v>
      </c>
    </row>
    <row r="117" spans="1:13">
      <c r="A117" s="1" t="s">
        <v>52</v>
      </c>
      <c r="B117" s="1" t="s">
        <v>48</v>
      </c>
      <c r="C117" s="1" t="s">
        <v>49</v>
      </c>
      <c r="D117" s="1" t="s">
        <v>46</v>
      </c>
      <c r="E117" s="1" t="s">
        <v>53</v>
      </c>
      <c r="F117" s="1">
        <v>35004</v>
      </c>
      <c r="G117" s="1">
        <v>1356</v>
      </c>
      <c r="H117" s="1">
        <v>29</v>
      </c>
      <c r="I117" s="1">
        <v>3393.55</v>
      </c>
      <c r="J117" s="1">
        <v>41558.75</v>
      </c>
      <c r="K117" s="1"/>
      <c r="L117" s="1"/>
      <c r="M117" s="1"/>
    </row>
    <row r="118" spans="1:13">
      <c r="A118" s="1" t="s">
        <v>42</v>
      </c>
      <c r="B118" s="1" t="s">
        <v>43</v>
      </c>
      <c r="C118" s="1" t="s">
        <v>49</v>
      </c>
      <c r="D118" s="1" t="s">
        <v>40</v>
      </c>
      <c r="E118" s="1" t="s">
        <v>50</v>
      </c>
      <c r="F118" s="1">
        <v>40312</v>
      </c>
      <c r="G118" s="1">
        <v>296</v>
      </c>
      <c r="H118" s="1">
        <v>11</v>
      </c>
      <c r="I118" s="1">
        <v>5913.53</v>
      </c>
      <c r="J118" s="1">
        <v>16443.13</v>
      </c>
      <c r="K118" s="1">
        <v>144</v>
      </c>
      <c r="L118" s="1">
        <v>6</v>
      </c>
      <c r="M118" s="1">
        <v>6</v>
      </c>
    </row>
    <row r="119" spans="1:13">
      <c r="A119" s="1" t="s">
        <v>51</v>
      </c>
      <c r="B119" s="1" t="s">
        <v>38</v>
      </c>
      <c r="C119" s="1" t="s">
        <v>39</v>
      </c>
      <c r="D119" s="1" t="s">
        <v>46</v>
      </c>
      <c r="E119" s="1" t="s">
        <v>50</v>
      </c>
      <c r="F119" s="1">
        <v>78542</v>
      </c>
      <c r="G119" s="1">
        <v>671</v>
      </c>
      <c r="H119" s="1">
        <v>9</v>
      </c>
      <c r="I119" s="1">
        <v>4379.83</v>
      </c>
      <c r="J119" s="1">
        <v>10955.25</v>
      </c>
      <c r="K119" s="1">
        <v>266</v>
      </c>
      <c r="L119" s="1">
        <v>21</v>
      </c>
      <c r="M119" s="1">
        <v>25</v>
      </c>
    </row>
    <row r="120" spans="1:13">
      <c r="A120" s="1" t="s">
        <v>52</v>
      </c>
      <c r="B120" s="1" t="s">
        <v>38</v>
      </c>
      <c r="C120" s="1" t="s">
        <v>49</v>
      </c>
      <c r="D120" s="1" t="s">
        <v>46</v>
      </c>
      <c r="E120" s="1" t="s">
        <v>53</v>
      </c>
      <c r="F120" s="1">
        <v>75858</v>
      </c>
      <c r="G120" s="1">
        <v>2684</v>
      </c>
      <c r="H120" s="1">
        <v>75</v>
      </c>
      <c r="I120" s="1">
        <v>6870.28</v>
      </c>
      <c r="J120" s="1">
        <v>112397.93</v>
      </c>
      <c r="K120" s="1"/>
      <c r="L120" s="1"/>
      <c r="M120" s="1"/>
    </row>
    <row r="121" spans="1:13">
      <c r="A121" s="1" t="s">
        <v>52</v>
      </c>
      <c r="B121" s="1" t="s">
        <v>48</v>
      </c>
      <c r="C121" s="1" t="s">
        <v>54</v>
      </c>
      <c r="D121" s="1" t="s">
        <v>40</v>
      </c>
      <c r="E121" s="1" t="s">
        <v>53</v>
      </c>
      <c r="F121" s="1">
        <v>32998</v>
      </c>
      <c r="G121" s="1">
        <v>1323</v>
      </c>
      <c r="H121" s="1">
        <v>44</v>
      </c>
      <c r="I121" s="1">
        <v>6930.1</v>
      </c>
      <c r="J121" s="1">
        <v>45430.27</v>
      </c>
      <c r="K121" s="1"/>
      <c r="L121" s="1"/>
      <c r="M121" s="1"/>
    </row>
    <row r="122" spans="1:13">
      <c r="A122" s="1" t="s">
        <v>42</v>
      </c>
      <c r="B122" s="1" t="s">
        <v>48</v>
      </c>
      <c r="C122" s="1" t="s">
        <v>49</v>
      </c>
      <c r="D122" s="1" t="s">
        <v>40</v>
      </c>
      <c r="E122" s="1" t="s">
        <v>50</v>
      </c>
      <c r="F122" s="1">
        <v>76583</v>
      </c>
      <c r="G122" s="1">
        <v>394</v>
      </c>
      <c r="H122" s="1">
        <v>9</v>
      </c>
      <c r="I122" s="1">
        <v>6022.43</v>
      </c>
      <c r="J122" s="1">
        <v>8958.19</v>
      </c>
      <c r="K122" s="1">
        <v>152</v>
      </c>
      <c r="L122" s="1">
        <v>13</v>
      </c>
      <c r="M122" s="1">
        <v>11</v>
      </c>
    </row>
    <row r="123" spans="1:13">
      <c r="A123" s="1" t="s">
        <v>37</v>
      </c>
      <c r="B123" s="1" t="s">
        <v>38</v>
      </c>
      <c r="C123" s="1" t="s">
        <v>39</v>
      </c>
      <c r="D123" s="1" t="s">
        <v>46</v>
      </c>
      <c r="E123" s="1" t="s">
        <v>47</v>
      </c>
      <c r="F123" s="1">
        <v>24288</v>
      </c>
      <c r="G123" s="1">
        <v>326</v>
      </c>
      <c r="H123" s="1">
        <v>9</v>
      </c>
      <c r="I123" s="1">
        <v>2662.8</v>
      </c>
      <c r="J123" s="1">
        <v>13388.18</v>
      </c>
      <c r="K123" s="1">
        <v>144</v>
      </c>
      <c r="L123" s="1">
        <v>18</v>
      </c>
      <c r="M123" s="1">
        <v>6</v>
      </c>
    </row>
    <row r="124" spans="1:13">
      <c r="A124" s="1" t="s">
        <v>37</v>
      </c>
      <c r="B124" s="1" t="s">
        <v>44</v>
      </c>
      <c r="C124" s="1" t="s">
        <v>45</v>
      </c>
      <c r="D124" s="1" t="s">
        <v>46</v>
      </c>
      <c r="E124" s="1" t="s">
        <v>50</v>
      </c>
      <c r="F124" s="1">
        <v>47532</v>
      </c>
      <c r="G124" s="1">
        <v>886</v>
      </c>
      <c r="H124" s="1">
        <v>24</v>
      </c>
      <c r="I124" s="1">
        <v>7898.24</v>
      </c>
      <c r="J124" s="1">
        <v>14108.09</v>
      </c>
      <c r="K124" s="1">
        <v>327</v>
      </c>
      <c r="L124" s="1">
        <v>32</v>
      </c>
      <c r="M124" s="1">
        <v>30</v>
      </c>
    </row>
    <row r="125" spans="1:13">
      <c r="A125" s="1" t="s">
        <v>51</v>
      </c>
      <c r="B125" s="1" t="s">
        <v>38</v>
      </c>
      <c r="C125" s="1" t="s">
        <v>49</v>
      </c>
      <c r="D125" s="1" t="s">
        <v>40</v>
      </c>
      <c r="E125" s="1" t="s">
        <v>50</v>
      </c>
      <c r="F125" s="1">
        <v>11833</v>
      </c>
      <c r="G125" s="1">
        <v>94</v>
      </c>
      <c r="H125" s="1">
        <v>1</v>
      </c>
      <c r="I125" s="1">
        <v>3694.49</v>
      </c>
      <c r="J125" s="1">
        <v>843.06</v>
      </c>
      <c r="K125" s="1">
        <v>33</v>
      </c>
      <c r="L125" s="1">
        <v>2</v>
      </c>
      <c r="M125" s="1">
        <v>2</v>
      </c>
    </row>
    <row r="126" spans="1:13">
      <c r="A126" s="1" t="s">
        <v>42</v>
      </c>
      <c r="B126" s="1" t="s">
        <v>38</v>
      </c>
      <c r="C126" s="1" t="s">
        <v>55</v>
      </c>
      <c r="D126" s="1" t="s">
        <v>40</v>
      </c>
      <c r="E126" s="1" t="s">
        <v>41</v>
      </c>
      <c r="F126" s="1">
        <v>31428</v>
      </c>
      <c r="G126" s="1">
        <v>315</v>
      </c>
      <c r="H126" s="1">
        <v>5</v>
      </c>
      <c r="I126" s="1">
        <v>5910.23</v>
      </c>
      <c r="J126" s="1">
        <v>2912.18</v>
      </c>
      <c r="K126" s="1">
        <v>142</v>
      </c>
      <c r="L126" s="1">
        <v>10</v>
      </c>
      <c r="M126" s="1">
        <v>5</v>
      </c>
    </row>
    <row r="127" spans="1:13">
      <c r="A127" s="1" t="s">
        <v>52</v>
      </c>
      <c r="B127" s="1" t="s">
        <v>48</v>
      </c>
      <c r="C127" s="1" t="s">
        <v>39</v>
      </c>
      <c r="D127" s="1" t="s">
        <v>46</v>
      </c>
      <c r="E127" s="1" t="s">
        <v>53</v>
      </c>
      <c r="F127" s="1">
        <v>18681</v>
      </c>
      <c r="G127" s="1">
        <v>511</v>
      </c>
      <c r="H127" s="1">
        <v>14</v>
      </c>
      <c r="I127" s="1">
        <v>7310.38</v>
      </c>
      <c r="J127" s="1">
        <v>19611.560000000001</v>
      </c>
      <c r="K127" s="1"/>
      <c r="L127" s="1"/>
      <c r="M127" s="1"/>
    </row>
    <row r="128" spans="1:13">
      <c r="A128" s="1" t="s">
        <v>52</v>
      </c>
      <c r="B128" s="1" t="s">
        <v>43</v>
      </c>
      <c r="C128" s="1" t="s">
        <v>55</v>
      </c>
      <c r="D128" s="1" t="s">
        <v>40</v>
      </c>
      <c r="E128" s="1" t="s">
        <v>53</v>
      </c>
      <c r="F128" s="1">
        <v>17490</v>
      </c>
      <c r="G128" s="1">
        <v>676</v>
      </c>
      <c r="H128" s="1">
        <v>22</v>
      </c>
      <c r="I128" s="1">
        <v>8351</v>
      </c>
      <c r="J128" s="1">
        <v>25693.61</v>
      </c>
      <c r="K128" s="1"/>
      <c r="L128" s="1"/>
      <c r="M128" s="1"/>
    </row>
    <row r="129" spans="1:13">
      <c r="A129" s="1" t="s">
        <v>42</v>
      </c>
      <c r="B129" s="1" t="s">
        <v>38</v>
      </c>
      <c r="C129" s="1" t="s">
        <v>54</v>
      </c>
      <c r="D129" s="1" t="s">
        <v>46</v>
      </c>
      <c r="E129" s="1" t="s">
        <v>41</v>
      </c>
      <c r="F129" s="1">
        <v>14380</v>
      </c>
      <c r="G129" s="1">
        <v>153</v>
      </c>
      <c r="H129" s="1">
        <v>3</v>
      </c>
      <c r="I129" s="1">
        <v>3832</v>
      </c>
      <c r="J129" s="1">
        <v>4146.3</v>
      </c>
      <c r="K129" s="1">
        <v>75</v>
      </c>
      <c r="L129" s="1">
        <v>4</v>
      </c>
      <c r="M129" s="1">
        <v>2</v>
      </c>
    </row>
    <row r="130" spans="1:13">
      <c r="A130" s="1" t="s">
        <v>42</v>
      </c>
      <c r="B130" s="1" t="s">
        <v>44</v>
      </c>
      <c r="C130" s="1" t="s">
        <v>54</v>
      </c>
      <c r="D130" s="1" t="s">
        <v>40</v>
      </c>
      <c r="E130" s="1" t="s">
        <v>41</v>
      </c>
      <c r="F130" s="1">
        <v>57262</v>
      </c>
      <c r="G130" s="1">
        <v>254</v>
      </c>
      <c r="H130" s="1">
        <v>5</v>
      </c>
      <c r="I130" s="1">
        <v>2862.56</v>
      </c>
      <c r="J130" s="1">
        <v>7232.21</v>
      </c>
      <c r="K130" s="1">
        <v>101</v>
      </c>
      <c r="L130" s="1">
        <v>12</v>
      </c>
      <c r="M130" s="1">
        <v>10</v>
      </c>
    </row>
    <row r="131" spans="1:13">
      <c r="A131" s="1" t="s">
        <v>51</v>
      </c>
      <c r="B131" s="1" t="s">
        <v>44</v>
      </c>
      <c r="C131" s="1" t="s">
        <v>54</v>
      </c>
      <c r="D131" s="1" t="s">
        <v>46</v>
      </c>
      <c r="E131" s="1" t="s">
        <v>50</v>
      </c>
      <c r="F131" s="1">
        <v>56767</v>
      </c>
      <c r="G131" s="1">
        <v>943</v>
      </c>
      <c r="H131" s="1">
        <v>14</v>
      </c>
      <c r="I131" s="1">
        <v>5047.3599999999997</v>
      </c>
      <c r="J131" s="1">
        <v>8477.67</v>
      </c>
      <c r="K131" s="1">
        <v>324</v>
      </c>
      <c r="L131" s="1">
        <v>46</v>
      </c>
      <c r="M131" s="1">
        <v>29</v>
      </c>
    </row>
    <row r="132" spans="1:13">
      <c r="A132" s="1" t="s">
        <v>37</v>
      </c>
      <c r="B132" s="1" t="s">
        <v>44</v>
      </c>
      <c r="C132" s="1" t="s">
        <v>45</v>
      </c>
      <c r="D132" s="1" t="s">
        <v>40</v>
      </c>
      <c r="E132" s="1" t="s">
        <v>41</v>
      </c>
      <c r="F132" s="1">
        <v>23469</v>
      </c>
      <c r="G132" s="1">
        <v>400</v>
      </c>
      <c r="H132" s="1">
        <v>11</v>
      </c>
      <c r="I132" s="1">
        <v>8722.7099999999991</v>
      </c>
      <c r="J132" s="1">
        <v>12036.82</v>
      </c>
      <c r="K132" s="1">
        <v>174</v>
      </c>
      <c r="L132" s="1">
        <v>19</v>
      </c>
      <c r="M132" s="1">
        <v>6</v>
      </c>
    </row>
    <row r="133" spans="1:13">
      <c r="A133" s="1" t="s">
        <v>51</v>
      </c>
      <c r="B133" s="1" t="s">
        <v>48</v>
      </c>
      <c r="C133" s="1" t="s">
        <v>39</v>
      </c>
      <c r="D133" s="1" t="s">
        <v>40</v>
      </c>
      <c r="E133" s="1" t="s">
        <v>50</v>
      </c>
      <c r="F133" s="1">
        <v>63077</v>
      </c>
      <c r="G133" s="1">
        <v>322</v>
      </c>
      <c r="H133" s="1">
        <v>3</v>
      </c>
      <c r="I133" s="1">
        <v>4673.22</v>
      </c>
      <c r="J133" s="1">
        <v>2061.96</v>
      </c>
      <c r="K133" s="1">
        <v>123</v>
      </c>
      <c r="L133" s="1">
        <v>15</v>
      </c>
      <c r="M133" s="1">
        <v>12</v>
      </c>
    </row>
    <row r="134" spans="1:13">
      <c r="A134" s="1" t="s">
        <v>52</v>
      </c>
      <c r="B134" s="1" t="s">
        <v>43</v>
      </c>
      <c r="C134" s="1" t="s">
        <v>45</v>
      </c>
      <c r="D134" s="1" t="s">
        <v>46</v>
      </c>
      <c r="E134" s="1" t="s">
        <v>56</v>
      </c>
      <c r="F134" s="1">
        <v>10478</v>
      </c>
      <c r="G134" s="1">
        <v>328</v>
      </c>
      <c r="H134" s="1">
        <v>13</v>
      </c>
      <c r="I134" s="1">
        <v>2481.85</v>
      </c>
      <c r="J134" s="1">
        <v>12731.37</v>
      </c>
      <c r="K134" s="1"/>
      <c r="L134" s="1"/>
      <c r="M134" s="1"/>
    </row>
    <row r="135" spans="1:13">
      <c r="A135" s="1" t="s">
        <v>42</v>
      </c>
      <c r="B135" s="1" t="s">
        <v>43</v>
      </c>
      <c r="C135" s="1" t="s">
        <v>45</v>
      </c>
      <c r="D135" s="1" t="s">
        <v>40</v>
      </c>
      <c r="E135" s="1" t="s">
        <v>50</v>
      </c>
      <c r="F135" s="1">
        <v>51090</v>
      </c>
      <c r="G135" s="1">
        <v>122</v>
      </c>
      <c r="H135" s="1">
        <v>2</v>
      </c>
      <c r="I135" s="1">
        <v>4082.78</v>
      </c>
      <c r="J135" s="1">
        <v>2799.39</v>
      </c>
      <c r="K135" s="1">
        <v>43</v>
      </c>
      <c r="L135" s="1">
        <v>2</v>
      </c>
      <c r="M135" s="1">
        <v>3</v>
      </c>
    </row>
    <row r="136" spans="1:13">
      <c r="A136" s="1" t="s">
        <v>52</v>
      </c>
      <c r="B136" s="1" t="s">
        <v>43</v>
      </c>
      <c r="C136" s="1" t="s">
        <v>49</v>
      </c>
      <c r="D136" s="1" t="s">
        <v>46</v>
      </c>
      <c r="E136" s="1" t="s">
        <v>56</v>
      </c>
      <c r="F136" s="1">
        <v>29825</v>
      </c>
      <c r="G136" s="1">
        <v>1024</v>
      </c>
      <c r="H136" s="1">
        <v>24</v>
      </c>
      <c r="I136" s="1">
        <v>3244.37</v>
      </c>
      <c r="J136" s="1">
        <v>33244.58</v>
      </c>
      <c r="K136" s="1"/>
      <c r="L136" s="1"/>
      <c r="M136" s="1"/>
    </row>
    <row r="137" spans="1:13">
      <c r="A137" s="1" t="s">
        <v>37</v>
      </c>
      <c r="B137" s="1" t="s">
        <v>48</v>
      </c>
      <c r="C137" s="1" t="s">
        <v>54</v>
      </c>
      <c r="D137" s="1" t="s">
        <v>40</v>
      </c>
      <c r="E137" s="1" t="s">
        <v>50</v>
      </c>
      <c r="F137" s="1">
        <v>57837</v>
      </c>
      <c r="G137" s="1">
        <v>948</v>
      </c>
      <c r="H137" s="1">
        <v>28</v>
      </c>
      <c r="I137" s="1">
        <v>8274.92</v>
      </c>
      <c r="J137" s="1">
        <v>36723.040000000001</v>
      </c>
      <c r="K137" s="1">
        <v>345</v>
      </c>
      <c r="L137" s="1">
        <v>42</v>
      </c>
      <c r="M137" s="1">
        <v>14</v>
      </c>
    </row>
    <row r="138" spans="1:13">
      <c r="A138" s="1" t="s">
        <v>51</v>
      </c>
      <c r="B138" s="1" t="s">
        <v>44</v>
      </c>
      <c r="C138" s="1" t="s">
        <v>45</v>
      </c>
      <c r="D138" s="1" t="s">
        <v>46</v>
      </c>
      <c r="E138" s="1" t="s">
        <v>50</v>
      </c>
      <c r="F138" s="1">
        <v>19179</v>
      </c>
      <c r="G138" s="1">
        <v>200</v>
      </c>
      <c r="H138" s="1">
        <v>3</v>
      </c>
      <c r="I138" s="1">
        <v>7968.52</v>
      </c>
      <c r="J138" s="1">
        <v>4251.17</v>
      </c>
      <c r="K138" s="1">
        <v>93</v>
      </c>
      <c r="L138" s="1">
        <v>4</v>
      </c>
      <c r="M138" s="1">
        <v>4</v>
      </c>
    </row>
    <row r="139" spans="1:13">
      <c r="A139" s="1" t="s">
        <v>37</v>
      </c>
      <c r="B139" s="1" t="s">
        <v>43</v>
      </c>
      <c r="C139" s="1" t="s">
        <v>54</v>
      </c>
      <c r="D139" s="1" t="s">
        <v>46</v>
      </c>
      <c r="E139" s="1" t="s">
        <v>50</v>
      </c>
      <c r="F139" s="1">
        <v>44981</v>
      </c>
      <c r="G139" s="1">
        <v>425</v>
      </c>
      <c r="H139" s="1">
        <v>9</v>
      </c>
      <c r="I139" s="1">
        <v>4767.83</v>
      </c>
      <c r="J139" s="1">
        <v>11351.15</v>
      </c>
      <c r="K139" s="1">
        <v>186</v>
      </c>
      <c r="L139" s="1">
        <v>18</v>
      </c>
      <c r="M139" s="1">
        <v>16</v>
      </c>
    </row>
    <row r="140" spans="1:13">
      <c r="A140" s="1" t="s">
        <v>51</v>
      </c>
      <c r="B140" s="1" t="s">
        <v>48</v>
      </c>
      <c r="C140" s="1" t="s">
        <v>55</v>
      </c>
      <c r="D140" s="1" t="s">
        <v>40</v>
      </c>
      <c r="E140" s="1" t="s">
        <v>50</v>
      </c>
      <c r="F140" s="1">
        <v>17327</v>
      </c>
      <c r="G140" s="1">
        <v>224</v>
      </c>
      <c r="H140" s="1">
        <v>3</v>
      </c>
      <c r="I140" s="1">
        <v>7007.93</v>
      </c>
      <c r="J140" s="1">
        <v>4341.09</v>
      </c>
      <c r="K140" s="1">
        <v>74</v>
      </c>
      <c r="L140" s="1">
        <v>9</v>
      </c>
      <c r="M140" s="1">
        <v>7</v>
      </c>
    </row>
    <row r="141" spans="1:13">
      <c r="A141" s="1" t="s">
        <v>51</v>
      </c>
      <c r="B141" s="1" t="s">
        <v>44</v>
      </c>
      <c r="C141" s="1" t="s">
        <v>45</v>
      </c>
      <c r="D141" s="1" t="s">
        <v>40</v>
      </c>
      <c r="E141" s="1" t="s">
        <v>50</v>
      </c>
      <c r="F141" s="1">
        <v>73905</v>
      </c>
      <c r="G141" s="1">
        <v>1056</v>
      </c>
      <c r="H141" s="1">
        <v>13</v>
      </c>
      <c r="I141" s="1">
        <v>4504.78</v>
      </c>
      <c r="J141" s="1">
        <v>13690.12</v>
      </c>
      <c r="K141" s="1">
        <v>448</v>
      </c>
      <c r="L141" s="1">
        <v>29</v>
      </c>
      <c r="M141" s="1">
        <v>30</v>
      </c>
    </row>
    <row r="142" spans="1:13">
      <c r="A142" s="1" t="s">
        <v>37</v>
      </c>
      <c r="B142" s="1" t="s">
        <v>48</v>
      </c>
      <c r="C142" s="1" t="s">
        <v>45</v>
      </c>
      <c r="D142" s="1" t="s">
        <v>40</v>
      </c>
      <c r="E142" s="1" t="s">
        <v>41</v>
      </c>
      <c r="F142" s="1">
        <v>33926</v>
      </c>
      <c r="G142" s="1">
        <v>291</v>
      </c>
      <c r="H142" s="1">
        <v>9</v>
      </c>
      <c r="I142" s="1">
        <v>5472.83</v>
      </c>
      <c r="J142" s="1">
        <v>5771.37</v>
      </c>
      <c r="K142" s="1">
        <v>135</v>
      </c>
      <c r="L142" s="1">
        <v>7</v>
      </c>
      <c r="M142" s="1">
        <v>3</v>
      </c>
    </row>
    <row r="143" spans="1:13">
      <c r="A143" s="1" t="s">
        <v>52</v>
      </c>
      <c r="B143" s="1" t="s">
        <v>44</v>
      </c>
      <c r="C143" s="1" t="s">
        <v>39</v>
      </c>
      <c r="D143" s="1" t="s">
        <v>40</v>
      </c>
      <c r="E143" s="1" t="s">
        <v>53</v>
      </c>
      <c r="F143" s="1">
        <v>23841</v>
      </c>
      <c r="G143" s="1">
        <v>790</v>
      </c>
      <c r="H143" s="1">
        <v>26</v>
      </c>
      <c r="I143" s="1">
        <v>5212.3900000000003</v>
      </c>
      <c r="J143" s="1">
        <v>23715.54</v>
      </c>
      <c r="K143" s="1"/>
      <c r="L143" s="1"/>
      <c r="M143" s="1"/>
    </row>
    <row r="144" spans="1:13">
      <c r="A144" s="1" t="s">
        <v>51</v>
      </c>
      <c r="B144" s="1" t="s">
        <v>44</v>
      </c>
      <c r="C144" s="1" t="s">
        <v>55</v>
      </c>
      <c r="D144" s="1" t="s">
        <v>46</v>
      </c>
      <c r="E144" s="1" t="s">
        <v>50</v>
      </c>
      <c r="F144" s="1">
        <v>67179</v>
      </c>
      <c r="G144" s="1">
        <v>443</v>
      </c>
      <c r="H144" s="1">
        <v>6</v>
      </c>
      <c r="I144" s="1">
        <v>4280.67</v>
      </c>
      <c r="J144" s="1">
        <v>7433.56</v>
      </c>
      <c r="K144" s="1">
        <v>135</v>
      </c>
      <c r="L144" s="1">
        <v>20</v>
      </c>
      <c r="M144" s="1">
        <v>5</v>
      </c>
    </row>
    <row r="145" spans="1:13">
      <c r="A145" s="1" t="s">
        <v>52</v>
      </c>
      <c r="B145" s="1" t="s">
        <v>44</v>
      </c>
      <c r="C145" s="1" t="s">
        <v>49</v>
      </c>
      <c r="D145" s="1" t="s">
        <v>46</v>
      </c>
      <c r="E145" s="1" t="s">
        <v>56</v>
      </c>
      <c r="F145" s="1">
        <v>31232</v>
      </c>
      <c r="G145" s="1">
        <v>922</v>
      </c>
      <c r="H145" s="1">
        <v>29</v>
      </c>
      <c r="I145" s="1">
        <v>3681.35</v>
      </c>
      <c r="J145" s="1">
        <v>20744.48</v>
      </c>
      <c r="K145" s="1"/>
      <c r="L145" s="1"/>
      <c r="M145" s="1"/>
    </row>
    <row r="146" spans="1:13">
      <c r="A146" s="1" t="s">
        <v>51</v>
      </c>
      <c r="B146" s="1" t="s">
        <v>43</v>
      </c>
      <c r="C146" s="1" t="s">
        <v>54</v>
      </c>
      <c r="D146" s="1" t="s">
        <v>46</v>
      </c>
      <c r="E146" s="1" t="s">
        <v>50</v>
      </c>
      <c r="F146" s="1">
        <v>51219</v>
      </c>
      <c r="G146" s="1">
        <v>629</v>
      </c>
      <c r="H146" s="1">
        <v>11</v>
      </c>
      <c r="I146" s="1">
        <v>6763.57</v>
      </c>
      <c r="J146" s="1">
        <v>7237.66</v>
      </c>
      <c r="K146" s="1">
        <v>249</v>
      </c>
      <c r="L146" s="1">
        <v>14</v>
      </c>
      <c r="M146" s="1">
        <v>9</v>
      </c>
    </row>
    <row r="147" spans="1:13">
      <c r="A147" s="1" t="s">
        <v>37</v>
      </c>
      <c r="B147" s="1" t="s">
        <v>48</v>
      </c>
      <c r="C147" s="1" t="s">
        <v>45</v>
      </c>
      <c r="D147" s="1" t="s">
        <v>40</v>
      </c>
      <c r="E147" s="1" t="s">
        <v>47</v>
      </c>
      <c r="F147" s="1">
        <v>17196</v>
      </c>
      <c r="G147" s="1"/>
      <c r="H147" s="1">
        <v>5</v>
      </c>
      <c r="I147" s="1">
        <v>2515.4</v>
      </c>
      <c r="J147" s="1">
        <v>3888.19</v>
      </c>
      <c r="K147" s="1">
        <v>120</v>
      </c>
      <c r="L147" s="1">
        <v>7</v>
      </c>
      <c r="M147" s="1">
        <v>6</v>
      </c>
    </row>
    <row r="148" spans="1:13">
      <c r="A148" s="1" t="s">
        <v>42</v>
      </c>
      <c r="B148" s="1" t="s">
        <v>44</v>
      </c>
      <c r="C148" s="1" t="s">
        <v>54</v>
      </c>
      <c r="D148" s="1" t="s">
        <v>46</v>
      </c>
      <c r="E148" s="1" t="s">
        <v>47</v>
      </c>
      <c r="F148" s="1">
        <v>76693</v>
      </c>
      <c r="G148" s="1">
        <v>783</v>
      </c>
      <c r="H148" s="1">
        <v>17</v>
      </c>
      <c r="I148" s="1">
        <v>7986.69</v>
      </c>
      <c r="J148" s="1">
        <v>20262.82</v>
      </c>
      <c r="K148" s="1">
        <v>255</v>
      </c>
      <c r="L148" s="1">
        <v>20</v>
      </c>
      <c r="M148" s="1">
        <v>17</v>
      </c>
    </row>
    <row r="149" spans="1:13">
      <c r="A149" s="1" t="s">
        <v>61</v>
      </c>
      <c r="B149" s="1" t="s">
        <v>48</v>
      </c>
      <c r="C149" s="1" t="s">
        <v>54</v>
      </c>
      <c r="D149" s="1" t="s">
        <v>46</v>
      </c>
      <c r="E149" s="1" t="s">
        <v>56</v>
      </c>
      <c r="F149" s="1">
        <v>50792</v>
      </c>
      <c r="G149" s="1">
        <v>1592</v>
      </c>
      <c r="H149" s="1">
        <v>13</v>
      </c>
      <c r="I149" s="1">
        <v>3209.91</v>
      </c>
      <c r="J149" s="1">
        <v>9231.99</v>
      </c>
      <c r="K149" s="1"/>
      <c r="L149" s="1"/>
      <c r="M149" s="1"/>
    </row>
    <row r="150" spans="1:13">
      <c r="A150" s="1" t="s">
        <v>51</v>
      </c>
      <c r="B150" s="1" t="s">
        <v>43</v>
      </c>
      <c r="C150" s="1" t="s">
        <v>55</v>
      </c>
      <c r="D150" s="1" t="s">
        <v>40</v>
      </c>
      <c r="E150" s="1" t="s">
        <v>50</v>
      </c>
      <c r="F150" s="1">
        <v>59231</v>
      </c>
      <c r="G150" s="1">
        <v>484</v>
      </c>
      <c r="H150" s="1">
        <v>9</v>
      </c>
      <c r="I150" s="1">
        <v>3155.79</v>
      </c>
      <c r="J150" s="1">
        <v>7634.97</v>
      </c>
      <c r="K150" s="1">
        <v>223</v>
      </c>
      <c r="L150" s="1">
        <v>18</v>
      </c>
      <c r="M150" s="1">
        <v>13</v>
      </c>
    </row>
    <row r="151" spans="1:13">
      <c r="A151" s="1" t="s">
        <v>37</v>
      </c>
      <c r="B151" s="1" t="s">
        <v>38</v>
      </c>
      <c r="C151" s="1" t="s">
        <v>39</v>
      </c>
      <c r="D151" s="1" t="s">
        <v>40</v>
      </c>
      <c r="E151" s="1" t="s">
        <v>50</v>
      </c>
      <c r="F151" s="1">
        <v>13994</v>
      </c>
      <c r="G151" s="1">
        <v>259</v>
      </c>
      <c r="H151" s="1">
        <v>2</v>
      </c>
      <c r="I151" s="1">
        <v>3425.53</v>
      </c>
      <c r="J151" s="1">
        <v>1491.86</v>
      </c>
      <c r="K151" s="1">
        <v>129</v>
      </c>
      <c r="L151" s="1">
        <v>11</v>
      </c>
      <c r="M151" s="1">
        <v>6</v>
      </c>
    </row>
    <row r="152" spans="1:13">
      <c r="A152" s="1" t="s">
        <v>52</v>
      </c>
      <c r="B152" s="1" t="s">
        <v>48</v>
      </c>
      <c r="C152" s="1" t="s">
        <v>45</v>
      </c>
      <c r="D152" s="1" t="s">
        <v>40</v>
      </c>
      <c r="E152" s="1" t="s">
        <v>56</v>
      </c>
      <c r="F152" s="1">
        <v>59889</v>
      </c>
      <c r="G152" s="1">
        <v>2233</v>
      </c>
      <c r="H152" s="1">
        <v>46</v>
      </c>
      <c r="I152" s="1"/>
      <c r="J152" s="1">
        <v>60964.82</v>
      </c>
      <c r="K152" s="1"/>
      <c r="L152" s="1"/>
      <c r="M152" s="1"/>
    </row>
    <row r="153" spans="1:13">
      <c r="A153" s="1" t="s">
        <v>52</v>
      </c>
      <c r="B153" s="1" t="s">
        <v>38</v>
      </c>
      <c r="C153" s="1" t="s">
        <v>45</v>
      </c>
      <c r="D153" s="1" t="s">
        <v>46</v>
      </c>
      <c r="E153" s="1" t="s">
        <v>53</v>
      </c>
      <c r="F153" s="1">
        <v>11061</v>
      </c>
      <c r="G153" s="1">
        <v>302</v>
      </c>
      <c r="H153" s="1"/>
      <c r="I153" s="1">
        <v>5039.67</v>
      </c>
      <c r="J153" s="1">
        <v>4980.05</v>
      </c>
      <c r="K153" s="1"/>
      <c r="L153" s="1"/>
      <c r="M153" s="1"/>
    </row>
    <row r="154" spans="1:13">
      <c r="A154" s="1" t="s">
        <v>52</v>
      </c>
      <c r="B154" s="1" t="s">
        <v>44</v>
      </c>
      <c r="C154" s="1" t="s">
        <v>55</v>
      </c>
      <c r="D154" s="1" t="s">
        <v>46</v>
      </c>
      <c r="E154" s="1" t="s">
        <v>56</v>
      </c>
      <c r="F154" s="1">
        <v>41985</v>
      </c>
      <c r="G154" s="1">
        <v>712</v>
      </c>
      <c r="H154" s="1">
        <v>28</v>
      </c>
      <c r="I154" s="1">
        <v>3683.79</v>
      </c>
      <c r="J154" s="1">
        <v>27543.13</v>
      </c>
      <c r="K154" s="1"/>
      <c r="L154" s="1"/>
      <c r="M154" s="1"/>
    </row>
    <row r="155" spans="1:13">
      <c r="A155" s="1" t="s">
        <v>37</v>
      </c>
      <c r="B155" s="1" t="s">
        <v>38</v>
      </c>
      <c r="C155" s="1" t="s">
        <v>39</v>
      </c>
      <c r="D155" s="1" t="s">
        <v>40</v>
      </c>
      <c r="E155" s="1" t="s">
        <v>41</v>
      </c>
      <c r="F155" s="1">
        <v>69366</v>
      </c>
      <c r="G155" s="1">
        <v>565</v>
      </c>
      <c r="H155" s="1">
        <v>8</v>
      </c>
      <c r="I155" s="1">
        <v>5108.55</v>
      </c>
      <c r="J155" s="1">
        <v>5712.4</v>
      </c>
      <c r="K155" s="1">
        <v>211</v>
      </c>
      <c r="L155" s="1">
        <v>14</v>
      </c>
      <c r="M155" s="1">
        <v>17</v>
      </c>
    </row>
    <row r="156" spans="1:13">
      <c r="A156" s="1" t="s">
        <v>51</v>
      </c>
      <c r="B156" s="1" t="s">
        <v>43</v>
      </c>
      <c r="C156" s="1" t="s">
        <v>55</v>
      </c>
      <c r="D156" s="1" t="s">
        <v>46</v>
      </c>
      <c r="E156" s="1" t="s">
        <v>50</v>
      </c>
      <c r="F156" s="1">
        <v>55657</v>
      </c>
      <c r="G156" s="1">
        <v>723</v>
      </c>
      <c r="H156" s="1">
        <v>8</v>
      </c>
      <c r="I156" s="1">
        <v>7771.98</v>
      </c>
      <c r="J156" s="1">
        <v>11548.84</v>
      </c>
      <c r="K156" s="1">
        <v>236</v>
      </c>
      <c r="L156" s="1">
        <v>28</v>
      </c>
      <c r="M156" s="1">
        <v>21</v>
      </c>
    </row>
    <row r="157" spans="1:13">
      <c r="A157" s="1" t="s">
        <v>37</v>
      </c>
      <c r="B157" s="1" t="s">
        <v>48</v>
      </c>
      <c r="C157" s="1" t="s">
        <v>45</v>
      </c>
      <c r="D157" s="1" t="s">
        <v>46</v>
      </c>
      <c r="E157" s="1" t="s">
        <v>41</v>
      </c>
      <c r="F157" s="1">
        <v>60334</v>
      </c>
      <c r="G157" s="1">
        <v>778</v>
      </c>
      <c r="H157" s="1">
        <v>13</v>
      </c>
      <c r="I157" s="1">
        <v>5656.98</v>
      </c>
      <c r="J157" s="1">
        <v>11861.14</v>
      </c>
      <c r="K157" s="1">
        <v>300</v>
      </c>
      <c r="L157" s="1">
        <v>19</v>
      </c>
      <c r="M157" s="1">
        <v>13</v>
      </c>
    </row>
    <row r="158" spans="1:13">
      <c r="A158" s="1" t="s">
        <v>37</v>
      </c>
      <c r="B158" s="1" t="s">
        <v>44</v>
      </c>
      <c r="C158" s="1" t="s">
        <v>49</v>
      </c>
      <c r="D158" s="1" t="s">
        <v>40</v>
      </c>
      <c r="E158" s="1"/>
      <c r="F158" s="1">
        <v>34030</v>
      </c>
      <c r="G158" s="1">
        <v>518</v>
      </c>
      <c r="H158" s="1">
        <v>14</v>
      </c>
      <c r="I158" s="1">
        <v>5297.21</v>
      </c>
      <c r="J158" s="1">
        <v>18143.490000000002</v>
      </c>
      <c r="K158" s="1">
        <v>155</v>
      </c>
      <c r="L158" s="1">
        <v>28</v>
      </c>
      <c r="M158" s="1">
        <v>8</v>
      </c>
    </row>
    <row r="159" spans="1:13">
      <c r="A159" s="1" t="s">
        <v>42</v>
      </c>
      <c r="B159" s="1" t="s">
        <v>48</v>
      </c>
      <c r="C159" s="1" t="s">
        <v>39</v>
      </c>
      <c r="D159" s="1" t="s">
        <v>40</v>
      </c>
      <c r="E159" s="1" t="s">
        <v>47</v>
      </c>
      <c r="F159" s="1">
        <v>48552</v>
      </c>
      <c r="G159" s="1">
        <v>594</v>
      </c>
      <c r="H159" s="1">
        <v>11</v>
      </c>
      <c r="I159" s="1">
        <v>8449.18</v>
      </c>
      <c r="J159" s="1">
        <v>12741.66</v>
      </c>
      <c r="K159" s="1">
        <v>278</v>
      </c>
      <c r="L159" s="1">
        <v>18</v>
      </c>
      <c r="M159" s="1">
        <v>11</v>
      </c>
    </row>
    <row r="160" spans="1:13">
      <c r="A160" s="1" t="s">
        <v>37</v>
      </c>
      <c r="B160" s="1" t="s">
        <v>44</v>
      </c>
      <c r="C160" s="1" t="s">
        <v>45</v>
      </c>
      <c r="D160" s="1" t="s">
        <v>46</v>
      </c>
      <c r="E160" s="1" t="s">
        <v>47</v>
      </c>
      <c r="F160" s="1">
        <v>79086</v>
      </c>
      <c r="G160" s="1">
        <v>1123</v>
      </c>
      <c r="H160" s="1">
        <v>19</v>
      </c>
      <c r="I160" s="1">
        <v>3537.3</v>
      </c>
      <c r="J160" s="1">
        <v>16264.68</v>
      </c>
      <c r="K160" s="1">
        <v>515</v>
      </c>
      <c r="L160" s="1">
        <v>62</v>
      </c>
      <c r="M160" s="1">
        <v>40</v>
      </c>
    </row>
    <row r="161" spans="1:13">
      <c r="A161" s="1" t="s">
        <v>42</v>
      </c>
      <c r="B161" s="1" t="s">
        <v>43</v>
      </c>
      <c r="C161" s="1" t="s">
        <v>55</v>
      </c>
      <c r="D161" s="1" t="s">
        <v>46</v>
      </c>
      <c r="E161" s="1" t="s">
        <v>41</v>
      </c>
      <c r="F161" s="1">
        <v>26830</v>
      </c>
      <c r="G161" s="1">
        <v>352</v>
      </c>
      <c r="H161" s="1">
        <v>6</v>
      </c>
      <c r="I161" s="1">
        <v>7952.58</v>
      </c>
      <c r="J161" s="1">
        <v>3361.24</v>
      </c>
      <c r="K161" s="1">
        <v>122</v>
      </c>
      <c r="L161" s="1">
        <v>15</v>
      </c>
      <c r="M161" s="1">
        <v>6</v>
      </c>
    </row>
    <row r="162" spans="1:13">
      <c r="A162" s="1" t="s">
        <v>37</v>
      </c>
      <c r="B162" s="1" t="s">
        <v>38</v>
      </c>
      <c r="C162" s="1" t="s">
        <v>49</v>
      </c>
      <c r="D162" s="1" t="s">
        <v>40</v>
      </c>
      <c r="E162" s="1" t="s">
        <v>47</v>
      </c>
      <c r="F162" s="1">
        <v>49174</v>
      </c>
      <c r="G162" s="1">
        <v>817</v>
      </c>
      <c r="H162" s="1">
        <v>21</v>
      </c>
      <c r="I162" s="1">
        <v>8578.27</v>
      </c>
      <c r="J162" s="1">
        <v>30369.63</v>
      </c>
      <c r="K162" s="1">
        <v>343</v>
      </c>
      <c r="L162" s="1">
        <v>46</v>
      </c>
      <c r="M162" s="1">
        <v>19</v>
      </c>
    </row>
    <row r="163" spans="1:13">
      <c r="A163" s="1" t="s">
        <v>37</v>
      </c>
      <c r="B163" s="1" t="s">
        <v>44</v>
      </c>
      <c r="C163" s="1" t="s">
        <v>39</v>
      </c>
      <c r="D163" s="1" t="s">
        <v>40</v>
      </c>
      <c r="E163" s="1" t="s">
        <v>50</v>
      </c>
      <c r="F163" s="1">
        <v>60656</v>
      </c>
      <c r="G163" s="1">
        <v>808</v>
      </c>
      <c r="H163" s="1"/>
      <c r="I163" s="1">
        <v>2282.23</v>
      </c>
      <c r="J163" s="1"/>
      <c r="K163" s="1">
        <v>386</v>
      </c>
      <c r="L163" s="1">
        <v>20</v>
      </c>
      <c r="M163" s="1">
        <v>20</v>
      </c>
    </row>
    <row r="164" spans="1:13">
      <c r="A164" s="1" t="s">
        <v>51</v>
      </c>
      <c r="B164" s="1" t="s">
        <v>48</v>
      </c>
      <c r="C164" s="1" t="s">
        <v>39</v>
      </c>
      <c r="D164" s="1" t="s">
        <v>46</v>
      </c>
      <c r="E164" s="1" t="s">
        <v>50</v>
      </c>
      <c r="F164" s="1">
        <v>39771</v>
      </c>
      <c r="G164" s="1">
        <v>602</v>
      </c>
      <c r="H164" s="1">
        <v>8</v>
      </c>
      <c r="I164" s="1">
        <v>8909.17</v>
      </c>
      <c r="J164" s="1">
        <v>6852.96</v>
      </c>
      <c r="K164" s="1">
        <v>259</v>
      </c>
      <c r="L164" s="1">
        <v>16</v>
      </c>
      <c r="M164" s="1">
        <v>14</v>
      </c>
    </row>
    <row r="165" spans="1:13">
      <c r="A165" s="1" t="s">
        <v>37</v>
      </c>
      <c r="B165" s="1" t="s">
        <v>38</v>
      </c>
      <c r="C165" s="1" t="s">
        <v>39</v>
      </c>
      <c r="D165" s="1" t="s">
        <v>40</v>
      </c>
      <c r="E165" s="1" t="s">
        <v>50</v>
      </c>
      <c r="F165" s="1">
        <v>16462</v>
      </c>
      <c r="G165" s="1">
        <v>302</v>
      </c>
      <c r="H165" s="1">
        <v>9</v>
      </c>
      <c r="I165" s="1">
        <v>3785.43</v>
      </c>
      <c r="J165" s="1">
        <v>5685.98</v>
      </c>
      <c r="K165" s="1">
        <v>99</v>
      </c>
      <c r="L165" s="1">
        <v>15</v>
      </c>
      <c r="M165" s="1">
        <v>11</v>
      </c>
    </row>
    <row r="166" spans="1:13">
      <c r="A166" s="1" t="s">
        <v>51</v>
      </c>
      <c r="B166" s="1" t="s">
        <v>44</v>
      </c>
      <c r="C166" s="1" t="s">
        <v>54</v>
      </c>
      <c r="D166" s="1" t="s">
        <v>40</v>
      </c>
      <c r="E166" s="1" t="s">
        <v>50</v>
      </c>
      <c r="F166" s="1"/>
      <c r="G166" s="1">
        <v>403</v>
      </c>
      <c r="H166" s="1">
        <v>8</v>
      </c>
      <c r="I166" s="1">
        <v>8873.67</v>
      </c>
      <c r="J166" s="1">
        <v>5966.91</v>
      </c>
      <c r="K166" s="1">
        <v>188</v>
      </c>
      <c r="L166" s="1">
        <v>8</v>
      </c>
      <c r="M166" s="1">
        <v>5</v>
      </c>
    </row>
    <row r="167" spans="1:13">
      <c r="A167" s="1" t="s">
        <v>52</v>
      </c>
      <c r="B167" s="1" t="s">
        <v>44</v>
      </c>
      <c r="C167" s="1" t="s">
        <v>45</v>
      </c>
      <c r="D167" s="1" t="s">
        <v>40</v>
      </c>
      <c r="E167" s="1" t="s">
        <v>56</v>
      </c>
      <c r="F167" s="1">
        <v>39037</v>
      </c>
      <c r="G167" s="1">
        <v>697</v>
      </c>
      <c r="H167" s="1">
        <v>9</v>
      </c>
      <c r="I167" s="1">
        <v>4538.7</v>
      </c>
      <c r="J167" s="1">
        <v>12134.53</v>
      </c>
      <c r="K167" s="1"/>
      <c r="L167" s="1"/>
      <c r="M167" s="1"/>
    </row>
    <row r="168" spans="1:13">
      <c r="A168" s="1" t="s">
        <v>51</v>
      </c>
      <c r="B168" s="1" t="s">
        <v>44</v>
      </c>
      <c r="C168" s="1" t="s">
        <v>55</v>
      </c>
      <c r="D168" s="1" t="s">
        <v>40</v>
      </c>
      <c r="E168" s="1" t="s">
        <v>50</v>
      </c>
      <c r="F168" s="1">
        <v>24845</v>
      </c>
      <c r="G168" s="1">
        <v>373</v>
      </c>
      <c r="H168" s="1">
        <v>6</v>
      </c>
      <c r="I168" s="1">
        <v>6975.68</v>
      </c>
      <c r="J168" s="1">
        <v>3669.87</v>
      </c>
      <c r="K168" s="1">
        <v>132</v>
      </c>
      <c r="L168" s="1">
        <v>18</v>
      </c>
      <c r="M168" s="1">
        <v>14</v>
      </c>
    </row>
    <row r="169" spans="1:13">
      <c r="A169" s="1" t="s">
        <v>51</v>
      </c>
      <c r="B169" s="1" t="s">
        <v>44</v>
      </c>
      <c r="C169" s="1" t="s">
        <v>55</v>
      </c>
      <c r="D169" s="1" t="s">
        <v>46</v>
      </c>
      <c r="E169" s="1" t="s">
        <v>50</v>
      </c>
      <c r="F169" s="1">
        <v>39800</v>
      </c>
      <c r="G169" s="1">
        <v>492</v>
      </c>
      <c r="H169" s="1">
        <v>5</v>
      </c>
      <c r="I169" s="1">
        <v>6067.19</v>
      </c>
      <c r="J169" s="1">
        <v>7071.6</v>
      </c>
      <c r="K169" s="1">
        <v>177</v>
      </c>
      <c r="L169" s="1">
        <v>19</v>
      </c>
      <c r="M169" s="1">
        <v>6</v>
      </c>
    </row>
    <row r="170" spans="1:13">
      <c r="A170" s="1" t="s">
        <v>51</v>
      </c>
      <c r="B170" s="1" t="s">
        <v>48</v>
      </c>
      <c r="C170" s="1" t="s">
        <v>54</v>
      </c>
      <c r="D170" s="1" t="s">
        <v>46</v>
      </c>
      <c r="E170" s="1" t="s">
        <v>50</v>
      </c>
      <c r="F170" s="1">
        <v>61234</v>
      </c>
      <c r="G170" s="1">
        <v>526</v>
      </c>
      <c r="H170" s="1">
        <v>9</v>
      </c>
      <c r="I170" s="1">
        <v>7894.28</v>
      </c>
      <c r="J170" s="1">
        <v>6232.18</v>
      </c>
      <c r="K170" s="1">
        <v>256</v>
      </c>
      <c r="L170" s="1">
        <v>24</v>
      </c>
      <c r="M170" s="1">
        <v>5</v>
      </c>
    </row>
    <row r="171" spans="1:13">
      <c r="A171" s="1" t="s">
        <v>42</v>
      </c>
      <c r="B171" s="1" t="s">
        <v>43</v>
      </c>
      <c r="C171" s="1" t="s">
        <v>45</v>
      </c>
      <c r="D171" s="1" t="s">
        <v>46</v>
      </c>
      <c r="E171" s="1" t="s">
        <v>41</v>
      </c>
      <c r="F171" s="1">
        <v>48508</v>
      </c>
      <c r="G171" s="1">
        <v>233</v>
      </c>
      <c r="H171" s="1">
        <v>3</v>
      </c>
      <c r="I171" s="1">
        <v>8251.7000000000007</v>
      </c>
      <c r="J171" s="1">
        <v>2498.5700000000002</v>
      </c>
      <c r="K171" s="1">
        <v>90</v>
      </c>
      <c r="L171" s="1">
        <v>13</v>
      </c>
      <c r="M171" s="1">
        <v>8</v>
      </c>
    </row>
    <row r="172" spans="1:13">
      <c r="A172" s="1" t="s">
        <v>52</v>
      </c>
      <c r="B172" s="1" t="s">
        <v>48</v>
      </c>
      <c r="C172" s="1" t="s">
        <v>45</v>
      </c>
      <c r="D172" s="1" t="s">
        <v>40</v>
      </c>
      <c r="E172" s="1" t="s">
        <v>53</v>
      </c>
      <c r="F172" s="1">
        <v>22595</v>
      </c>
      <c r="G172" s="1">
        <v>608</v>
      </c>
      <c r="H172" s="1">
        <v>33</v>
      </c>
      <c r="I172" s="1">
        <v>7683.3</v>
      </c>
      <c r="J172" s="1">
        <v>35066.769999999997</v>
      </c>
      <c r="K172" s="1"/>
      <c r="L172" s="1"/>
      <c r="M172" s="1"/>
    </row>
    <row r="173" spans="1:13">
      <c r="A173" s="1" t="s">
        <v>42</v>
      </c>
      <c r="B173" s="1" t="s">
        <v>44</v>
      </c>
      <c r="C173" s="1" t="s">
        <v>49</v>
      </c>
      <c r="D173" s="1" t="s">
        <v>46</v>
      </c>
      <c r="E173" s="1" t="s">
        <v>50</v>
      </c>
      <c r="F173" s="1">
        <v>49372</v>
      </c>
      <c r="G173" s="1">
        <v>376</v>
      </c>
      <c r="H173" s="1">
        <v>7</v>
      </c>
      <c r="I173" s="1">
        <v>2247.1</v>
      </c>
      <c r="J173" s="1">
        <v>8311.73</v>
      </c>
      <c r="K173" s="1">
        <v>128</v>
      </c>
      <c r="L173" s="1">
        <v>19</v>
      </c>
      <c r="M173" s="1">
        <v>6</v>
      </c>
    </row>
    <row r="174" spans="1:13">
      <c r="A174" s="1" t="s">
        <v>52</v>
      </c>
      <c r="B174" s="1" t="s">
        <v>38</v>
      </c>
      <c r="C174" s="1" t="s">
        <v>54</v>
      </c>
      <c r="D174" s="1" t="s">
        <v>40</v>
      </c>
      <c r="E174" s="1" t="s">
        <v>56</v>
      </c>
      <c r="F174" s="1">
        <v>40193</v>
      </c>
      <c r="G174" s="1">
        <v>1123</v>
      </c>
      <c r="H174" s="1">
        <v>43</v>
      </c>
      <c r="I174" s="1">
        <v>8429.4599999999991</v>
      </c>
      <c r="J174" s="1"/>
      <c r="K174" s="1"/>
      <c r="L174" s="1"/>
      <c r="M174" s="1"/>
    </row>
    <row r="175" spans="1:13">
      <c r="A175" s="1" t="s">
        <v>42</v>
      </c>
      <c r="B175" s="1" t="s">
        <v>38</v>
      </c>
      <c r="C175" s="1" t="s">
        <v>49</v>
      </c>
      <c r="D175" s="1" t="s">
        <v>46</v>
      </c>
      <c r="E175" s="1" t="s">
        <v>47</v>
      </c>
      <c r="F175" s="1">
        <v>57579</v>
      </c>
      <c r="G175" s="1">
        <v>553</v>
      </c>
      <c r="H175" s="1">
        <v>10</v>
      </c>
      <c r="I175" s="1">
        <v>3398.17</v>
      </c>
      <c r="J175" s="1">
        <v>6070.15</v>
      </c>
      <c r="K175" s="1">
        <v>255</v>
      </c>
      <c r="L175" s="1">
        <v>28</v>
      </c>
      <c r="M175" s="1">
        <v>6</v>
      </c>
    </row>
    <row r="176" spans="1:13">
      <c r="A176" s="1" t="s">
        <v>51</v>
      </c>
      <c r="B176" s="1" t="s">
        <v>43</v>
      </c>
      <c r="C176" s="1" t="s">
        <v>54</v>
      </c>
      <c r="D176" s="1" t="s">
        <v>46</v>
      </c>
      <c r="E176" s="1" t="s">
        <v>50</v>
      </c>
      <c r="F176" s="1">
        <v>51219</v>
      </c>
      <c r="G176" s="1">
        <v>629</v>
      </c>
      <c r="H176" s="1">
        <v>11</v>
      </c>
      <c r="I176" s="1">
        <v>6763.57</v>
      </c>
      <c r="J176" s="1">
        <v>7237.66</v>
      </c>
      <c r="K176" s="1">
        <v>249</v>
      </c>
      <c r="L176" s="1">
        <v>14</v>
      </c>
      <c r="M176" s="1">
        <v>9</v>
      </c>
    </row>
    <row r="177" spans="1:13">
      <c r="A177" s="1" t="s">
        <v>37</v>
      </c>
      <c r="B177" s="1" t="s">
        <v>48</v>
      </c>
      <c r="C177" s="1" t="s">
        <v>45</v>
      </c>
      <c r="D177" s="1" t="s">
        <v>40</v>
      </c>
      <c r="E177" s="1" t="s">
        <v>47</v>
      </c>
      <c r="F177" s="1">
        <v>17196</v>
      </c>
      <c r="G177" s="1"/>
      <c r="H177" s="1">
        <v>5</v>
      </c>
      <c r="I177" s="1">
        <v>2515.4</v>
      </c>
      <c r="J177" s="1">
        <v>3888.19</v>
      </c>
      <c r="K177" s="1">
        <v>120</v>
      </c>
      <c r="L177" s="1">
        <v>7</v>
      </c>
      <c r="M177" s="1">
        <v>6</v>
      </c>
    </row>
    <row r="178" spans="1:13">
      <c r="A178" s="1" t="s">
        <v>51</v>
      </c>
      <c r="B178" s="1" t="s">
        <v>38</v>
      </c>
      <c r="C178" s="1" t="s">
        <v>55</v>
      </c>
      <c r="D178" s="1" t="s">
        <v>46</v>
      </c>
      <c r="E178" s="1" t="s">
        <v>50</v>
      </c>
      <c r="F178" s="1">
        <v>13013</v>
      </c>
      <c r="G178" s="1"/>
      <c r="H178" s="1">
        <v>2</v>
      </c>
      <c r="I178" s="1">
        <v>2984.47</v>
      </c>
      <c r="J178" s="1">
        <v>1568.07</v>
      </c>
      <c r="K178" s="1">
        <v>29</v>
      </c>
      <c r="L178" s="1">
        <v>2</v>
      </c>
      <c r="M178" s="1">
        <v>2</v>
      </c>
    </row>
    <row r="179" spans="1:13">
      <c r="A179" s="1" t="s">
        <v>42</v>
      </c>
      <c r="B179" s="1" t="s">
        <v>48</v>
      </c>
      <c r="C179" s="1" t="s">
        <v>49</v>
      </c>
      <c r="D179" s="1" t="s">
        <v>46</v>
      </c>
      <c r="E179" s="1"/>
      <c r="F179" s="1">
        <v>75074</v>
      </c>
      <c r="G179" s="1">
        <v>708</v>
      </c>
      <c r="H179" s="1">
        <v>23</v>
      </c>
      <c r="I179" s="1">
        <v>8574.86</v>
      </c>
      <c r="J179" s="1">
        <v>28436.17</v>
      </c>
      <c r="K179" s="1">
        <v>335</v>
      </c>
      <c r="L179" s="1">
        <v>16</v>
      </c>
      <c r="M179" s="1">
        <v>9</v>
      </c>
    </row>
    <row r="180" spans="1:13">
      <c r="A180" s="1" t="s">
        <v>51</v>
      </c>
      <c r="B180" s="1" t="s">
        <v>43</v>
      </c>
      <c r="C180" s="1" t="s">
        <v>55</v>
      </c>
      <c r="D180" s="1" t="s">
        <v>46</v>
      </c>
      <c r="E180" s="1" t="s">
        <v>50</v>
      </c>
      <c r="F180" s="1">
        <v>20231</v>
      </c>
      <c r="G180" s="1">
        <v>230</v>
      </c>
      <c r="H180" s="1">
        <v>3</v>
      </c>
      <c r="I180" s="1">
        <v>2770.22</v>
      </c>
      <c r="J180" s="1">
        <v>3851.67</v>
      </c>
      <c r="K180" s="1">
        <v>81</v>
      </c>
      <c r="L180" s="1">
        <v>11</v>
      </c>
      <c r="M180" s="1">
        <v>8</v>
      </c>
    </row>
    <row r="181" spans="1:13">
      <c r="A181" s="1" t="s">
        <v>42</v>
      </c>
      <c r="B181" s="1" t="s">
        <v>38</v>
      </c>
      <c r="C181" s="1" t="s">
        <v>45</v>
      </c>
      <c r="D181" s="1" t="s">
        <v>46</v>
      </c>
      <c r="E181" s="1" t="s">
        <v>50</v>
      </c>
      <c r="F181" s="1">
        <v>49200</v>
      </c>
      <c r="G181" s="1">
        <v>672</v>
      </c>
      <c r="H181" s="1">
        <v>18</v>
      </c>
      <c r="I181" s="1">
        <v>7117.31</v>
      </c>
      <c r="J181" s="1">
        <v>11247.65</v>
      </c>
      <c r="K181" s="1">
        <v>331</v>
      </c>
      <c r="L181" s="1">
        <v>15</v>
      </c>
      <c r="M181" s="1">
        <v>12</v>
      </c>
    </row>
    <row r="182" spans="1:13">
      <c r="A182" s="1" t="s">
        <v>52</v>
      </c>
      <c r="B182" s="1" t="s">
        <v>48</v>
      </c>
      <c r="C182" s="1" t="s">
        <v>49</v>
      </c>
      <c r="D182" s="1" t="s">
        <v>40</v>
      </c>
      <c r="E182" s="1" t="s">
        <v>56</v>
      </c>
      <c r="F182" s="1">
        <v>52477</v>
      </c>
      <c r="G182" s="1">
        <v>907</v>
      </c>
      <c r="H182" s="1">
        <v>36</v>
      </c>
      <c r="I182" s="1">
        <v>6131.01</v>
      </c>
      <c r="J182" s="1">
        <v>20924.439999999999</v>
      </c>
      <c r="K182" s="1"/>
      <c r="L182" s="1"/>
      <c r="M182" s="1"/>
    </row>
    <row r="183" spans="1:13">
      <c r="A183" s="1" t="s">
        <v>51</v>
      </c>
      <c r="B183" s="1" t="s">
        <v>48</v>
      </c>
      <c r="C183" s="1" t="s">
        <v>49</v>
      </c>
      <c r="D183" s="1" t="s">
        <v>40</v>
      </c>
      <c r="E183" s="1" t="s">
        <v>50</v>
      </c>
      <c r="F183" s="1">
        <v>26597</v>
      </c>
      <c r="G183" s="1">
        <v>338</v>
      </c>
      <c r="H183" s="1">
        <v>4</v>
      </c>
      <c r="I183" s="1">
        <v>6563.98</v>
      </c>
      <c r="J183" s="1">
        <v>4069.98</v>
      </c>
      <c r="K183" s="1">
        <v>115</v>
      </c>
      <c r="L183" s="1">
        <v>18</v>
      </c>
      <c r="M183" s="1">
        <v>9</v>
      </c>
    </row>
    <row r="184" spans="1:13">
      <c r="A184" s="1" t="s">
        <v>42</v>
      </c>
      <c r="B184" s="1" t="s">
        <v>43</v>
      </c>
      <c r="C184" s="1" t="s">
        <v>45</v>
      </c>
      <c r="D184" s="1" t="s">
        <v>46</v>
      </c>
      <c r="E184" s="1" t="s">
        <v>50</v>
      </c>
      <c r="F184" s="1">
        <v>47468</v>
      </c>
      <c r="G184" s="1">
        <v>622</v>
      </c>
      <c r="H184" s="1">
        <v>16</v>
      </c>
      <c r="I184" s="1">
        <v>8305.4699999999993</v>
      </c>
      <c r="J184" s="1">
        <v>12082.68</v>
      </c>
      <c r="K184" s="1">
        <v>274</v>
      </c>
      <c r="L184" s="1">
        <v>19</v>
      </c>
      <c r="M184" s="1">
        <v>15</v>
      </c>
    </row>
    <row r="185" spans="1:13">
      <c r="A185" s="1" t="s">
        <v>42</v>
      </c>
      <c r="B185" s="1" t="s">
        <v>38</v>
      </c>
      <c r="C185" s="1" t="s">
        <v>49</v>
      </c>
      <c r="D185" s="1" t="s">
        <v>40</v>
      </c>
      <c r="E185" s="1" t="s">
        <v>50</v>
      </c>
      <c r="F185" s="1">
        <v>43987</v>
      </c>
      <c r="G185" s="1">
        <v>346</v>
      </c>
      <c r="H185" s="1"/>
      <c r="I185" s="1">
        <v>2036.77</v>
      </c>
      <c r="J185" s="1">
        <v>5045.58</v>
      </c>
      <c r="K185" s="1">
        <v>134</v>
      </c>
      <c r="L185" s="1">
        <v>8</v>
      </c>
      <c r="M185" s="1">
        <v>13</v>
      </c>
    </row>
    <row r="186" spans="1:13">
      <c r="A186" s="1" t="s">
        <v>37</v>
      </c>
      <c r="B186" s="1" t="s">
        <v>38</v>
      </c>
      <c r="C186" s="1" t="s">
        <v>49</v>
      </c>
      <c r="D186" s="1" t="s">
        <v>40</v>
      </c>
      <c r="E186" s="1" t="s">
        <v>41</v>
      </c>
      <c r="F186" s="1">
        <v>28921</v>
      </c>
      <c r="G186" s="1">
        <v>492</v>
      </c>
      <c r="H186" s="1">
        <v>13</v>
      </c>
      <c r="I186" s="1"/>
      <c r="J186" s="1">
        <v>9171.7199999999993</v>
      </c>
      <c r="K186" s="1">
        <v>170</v>
      </c>
      <c r="L186" s="1">
        <v>27</v>
      </c>
      <c r="M186" s="1">
        <v>19</v>
      </c>
    </row>
    <row r="187" spans="1:13">
      <c r="A187" s="1" t="s">
        <v>61</v>
      </c>
      <c r="B187" s="1" t="s">
        <v>38</v>
      </c>
      <c r="C187" s="1" t="s">
        <v>45</v>
      </c>
      <c r="D187" s="1" t="s">
        <v>46</v>
      </c>
      <c r="E187" s="1" t="s">
        <v>56</v>
      </c>
      <c r="F187" s="1">
        <v>17604</v>
      </c>
      <c r="G187" s="1">
        <v>132</v>
      </c>
      <c r="H187" s="1">
        <v>4</v>
      </c>
      <c r="I187" s="1">
        <v>8725.19</v>
      </c>
      <c r="J187" s="1">
        <v>3618.28</v>
      </c>
      <c r="K187" s="1"/>
      <c r="L187" s="1"/>
      <c r="M187" s="1"/>
    </row>
    <row r="188" spans="1:13">
      <c r="A188" s="1" t="s">
        <v>42</v>
      </c>
      <c r="B188" s="1" t="s">
        <v>38</v>
      </c>
      <c r="C188" s="1" t="s">
        <v>39</v>
      </c>
      <c r="D188" s="1" t="s">
        <v>46</v>
      </c>
      <c r="E188" s="1" t="s">
        <v>41</v>
      </c>
      <c r="F188" s="1">
        <v>27170</v>
      </c>
      <c r="G188" s="1">
        <v>298</v>
      </c>
      <c r="H188" s="1">
        <v>5</v>
      </c>
      <c r="I188" s="1">
        <v>7297.85</v>
      </c>
      <c r="J188" s="1">
        <v>5703.02</v>
      </c>
      <c r="K188" s="1">
        <v>116</v>
      </c>
      <c r="L188" s="1">
        <v>7</v>
      </c>
      <c r="M188" s="1">
        <v>7</v>
      </c>
    </row>
    <row r="189" spans="1:13">
      <c r="A189" s="1" t="s">
        <v>42</v>
      </c>
      <c r="B189" s="1" t="s">
        <v>48</v>
      </c>
      <c r="C189" s="1" t="s">
        <v>45</v>
      </c>
      <c r="D189" s="1" t="s">
        <v>46</v>
      </c>
      <c r="E189" s="1" t="s">
        <v>47</v>
      </c>
      <c r="F189" s="1">
        <v>51119</v>
      </c>
      <c r="G189" s="1">
        <v>480</v>
      </c>
      <c r="H189" s="1">
        <v>12</v>
      </c>
      <c r="I189" s="1">
        <v>8523.48</v>
      </c>
      <c r="J189" s="1">
        <v>16072.57</v>
      </c>
      <c r="K189" s="1">
        <v>173</v>
      </c>
      <c r="L189" s="1">
        <v>19</v>
      </c>
      <c r="M189" s="1">
        <v>13</v>
      </c>
    </row>
    <row r="190" spans="1:13">
      <c r="A190" s="1" t="s">
        <v>51</v>
      </c>
      <c r="B190" s="1" t="s">
        <v>43</v>
      </c>
      <c r="C190" s="1" t="s">
        <v>39</v>
      </c>
      <c r="D190" s="1" t="s">
        <v>40</v>
      </c>
      <c r="E190" s="1" t="s">
        <v>50</v>
      </c>
      <c r="F190" s="1"/>
      <c r="G190" s="1">
        <v>297</v>
      </c>
      <c r="H190" s="1">
        <v>3</v>
      </c>
      <c r="I190" s="1">
        <v>2173.4299999999998</v>
      </c>
      <c r="J190" s="1">
        <v>3846.36</v>
      </c>
      <c r="K190" s="1">
        <v>114</v>
      </c>
      <c r="L190" s="1">
        <v>16</v>
      </c>
      <c r="M190" s="1">
        <v>5</v>
      </c>
    </row>
    <row r="191" spans="1:13">
      <c r="A191" s="1" t="s">
        <v>52</v>
      </c>
      <c r="B191" s="1" t="s">
        <v>44</v>
      </c>
      <c r="C191" s="1" t="s">
        <v>55</v>
      </c>
      <c r="D191" s="1" t="s">
        <v>46</v>
      </c>
      <c r="E191" s="1" t="s">
        <v>56</v>
      </c>
      <c r="F191" s="1">
        <v>52022</v>
      </c>
      <c r="G191" s="1">
        <v>1683</v>
      </c>
      <c r="H191" s="1">
        <v>66</v>
      </c>
      <c r="I191" s="1">
        <v>5316.04</v>
      </c>
      <c r="J191" s="1">
        <v>63261.95</v>
      </c>
      <c r="K191" s="1"/>
      <c r="L191" s="1"/>
      <c r="M191" s="1"/>
    </row>
    <row r="192" spans="1:13">
      <c r="A192" s="1" t="s">
        <v>51</v>
      </c>
      <c r="B192" s="1" t="s">
        <v>43</v>
      </c>
      <c r="C192" s="1" t="s">
        <v>54</v>
      </c>
      <c r="D192" s="1" t="s">
        <v>40</v>
      </c>
      <c r="E192" s="1" t="s">
        <v>50</v>
      </c>
      <c r="F192" s="1">
        <v>37251</v>
      </c>
      <c r="G192" s="1">
        <v>440</v>
      </c>
      <c r="H192" s="1">
        <v>10</v>
      </c>
      <c r="I192" s="1">
        <v>6596.87</v>
      </c>
      <c r="J192" s="1">
        <v>7049.07</v>
      </c>
      <c r="K192" s="1">
        <v>206</v>
      </c>
      <c r="L192" s="1">
        <v>23</v>
      </c>
      <c r="M192" s="1">
        <v>9</v>
      </c>
    </row>
    <row r="193" spans="1:13">
      <c r="A193" s="1" t="s">
        <v>42</v>
      </c>
      <c r="B193" s="1" t="s">
        <v>48</v>
      </c>
      <c r="C193" s="1" t="s">
        <v>45</v>
      </c>
      <c r="D193" s="1" t="s">
        <v>40</v>
      </c>
      <c r="E193" s="1" t="s">
        <v>50</v>
      </c>
      <c r="F193" s="1">
        <v>67629</v>
      </c>
      <c r="G193" s="1">
        <v>941</v>
      </c>
      <c r="H193" s="1">
        <v>10</v>
      </c>
      <c r="I193" s="1">
        <v>6639.6</v>
      </c>
      <c r="J193" s="1">
        <v>10194.11</v>
      </c>
      <c r="K193" s="1">
        <v>307</v>
      </c>
      <c r="L193" s="1">
        <v>54</v>
      </c>
      <c r="M193" s="1">
        <v>15</v>
      </c>
    </row>
    <row r="194" spans="1:13">
      <c r="A194" s="1" t="s">
        <v>51</v>
      </c>
      <c r="B194" s="1" t="s">
        <v>44</v>
      </c>
      <c r="C194" s="1" t="s">
        <v>39</v>
      </c>
      <c r="D194" s="1" t="s">
        <v>40</v>
      </c>
      <c r="E194" s="1" t="s">
        <v>50</v>
      </c>
      <c r="F194" s="1">
        <v>61510</v>
      </c>
      <c r="G194" s="1">
        <v>468</v>
      </c>
      <c r="H194" s="1">
        <v>6</v>
      </c>
      <c r="I194" s="1">
        <v>8182.14</v>
      </c>
      <c r="J194" s="1">
        <v>7145.24</v>
      </c>
      <c r="K194" s="1">
        <v>221</v>
      </c>
      <c r="L194" s="1">
        <v>12</v>
      </c>
      <c r="M194" s="1">
        <v>11</v>
      </c>
    </row>
    <row r="195" spans="1:13">
      <c r="A195" s="1" t="s">
        <v>37</v>
      </c>
      <c r="B195" s="1" t="s">
        <v>43</v>
      </c>
      <c r="C195" s="1" t="s">
        <v>55</v>
      </c>
      <c r="D195" s="1" t="s">
        <v>40</v>
      </c>
      <c r="E195" s="1" t="s">
        <v>50</v>
      </c>
      <c r="F195" s="1">
        <v>14874</v>
      </c>
      <c r="G195" s="1">
        <v>207</v>
      </c>
      <c r="H195" s="1">
        <v>5</v>
      </c>
      <c r="I195" s="1">
        <v>3305.47</v>
      </c>
      <c r="J195" s="1">
        <v>6643.53</v>
      </c>
      <c r="K195" s="1">
        <v>77</v>
      </c>
      <c r="L195" s="1">
        <v>4</v>
      </c>
      <c r="M195" s="1">
        <v>3</v>
      </c>
    </row>
    <row r="196" spans="1:13">
      <c r="A196" s="1" t="s">
        <v>42</v>
      </c>
      <c r="B196" s="1" t="s">
        <v>43</v>
      </c>
      <c r="C196" s="1" t="s">
        <v>49</v>
      </c>
      <c r="D196" s="1" t="s">
        <v>46</v>
      </c>
      <c r="E196" s="1" t="s">
        <v>50</v>
      </c>
      <c r="F196" s="1">
        <v>20005</v>
      </c>
      <c r="G196" s="1">
        <v>176</v>
      </c>
      <c r="H196" s="1">
        <v>4</v>
      </c>
      <c r="I196" s="1">
        <v>8592.4599999999991</v>
      </c>
      <c r="J196" s="1">
        <v>3256.08</v>
      </c>
      <c r="K196" s="1">
        <v>61</v>
      </c>
      <c r="L196" s="1">
        <v>6</v>
      </c>
      <c r="M196" s="1">
        <v>2</v>
      </c>
    </row>
    <row r="197" spans="1:13">
      <c r="A197" s="1" t="s">
        <v>52</v>
      </c>
      <c r="B197" s="1" t="s">
        <v>44</v>
      </c>
      <c r="C197" s="1" t="s">
        <v>55</v>
      </c>
      <c r="D197" s="1" t="s">
        <v>46</v>
      </c>
      <c r="E197" s="1" t="s">
        <v>56</v>
      </c>
      <c r="F197" s="1">
        <v>31061</v>
      </c>
      <c r="G197" s="1"/>
      <c r="H197" s="1">
        <v>0</v>
      </c>
      <c r="I197" s="1">
        <v>4243.71</v>
      </c>
      <c r="J197" s="1">
        <v>0</v>
      </c>
      <c r="K197" s="1"/>
      <c r="L197" s="1"/>
      <c r="M197" s="1"/>
    </row>
    <row r="198" spans="1:13">
      <c r="A198" s="1" t="s">
        <v>37</v>
      </c>
      <c r="B198" s="1" t="s">
        <v>43</v>
      </c>
      <c r="C198" s="1" t="s">
        <v>54</v>
      </c>
      <c r="D198" s="1" t="s">
        <v>40</v>
      </c>
      <c r="E198" s="1" t="s">
        <v>47</v>
      </c>
      <c r="F198" s="1">
        <v>71003</v>
      </c>
      <c r="G198" s="1">
        <v>1020</v>
      </c>
      <c r="H198" s="1">
        <v>25</v>
      </c>
      <c r="I198" s="1">
        <v>7744.28</v>
      </c>
      <c r="J198" s="1">
        <v>16664.330000000002</v>
      </c>
      <c r="K198" s="1">
        <v>492</v>
      </c>
      <c r="L198" s="1">
        <v>40</v>
      </c>
      <c r="M198" s="1">
        <v>21</v>
      </c>
    </row>
    <row r="199" spans="1:13">
      <c r="A199" s="1" t="s">
        <v>37</v>
      </c>
      <c r="B199" s="1" t="s">
        <v>38</v>
      </c>
      <c r="C199" s="1" t="s">
        <v>49</v>
      </c>
      <c r="D199" s="1" t="s">
        <v>40</v>
      </c>
      <c r="E199" s="1" t="s">
        <v>47</v>
      </c>
      <c r="F199" s="1">
        <v>32657</v>
      </c>
      <c r="G199" s="1">
        <v>361</v>
      </c>
      <c r="H199" s="1"/>
      <c r="I199" s="1">
        <v>4593.75</v>
      </c>
      <c r="J199" s="1">
        <v>2011.44</v>
      </c>
      <c r="K199" s="1">
        <v>109</v>
      </c>
      <c r="L199" s="1">
        <v>10</v>
      </c>
      <c r="M199" s="1">
        <v>9</v>
      </c>
    </row>
    <row r="200" spans="1:13">
      <c r="A200" s="1" t="s">
        <v>52</v>
      </c>
      <c r="B200" s="1" t="s">
        <v>48</v>
      </c>
      <c r="C200" s="1" t="s">
        <v>49</v>
      </c>
      <c r="D200" s="1" t="s">
        <v>46</v>
      </c>
      <c r="E200" s="1" t="s">
        <v>56</v>
      </c>
      <c r="F200" s="1">
        <v>15233</v>
      </c>
      <c r="G200" s="1">
        <v>765</v>
      </c>
      <c r="H200" s="1">
        <v>22</v>
      </c>
      <c r="I200" s="1"/>
      <c r="J200" s="1">
        <v>24057.87</v>
      </c>
      <c r="K200" s="1"/>
      <c r="L200" s="1"/>
      <c r="M200" s="1"/>
    </row>
    <row r="201" spans="1:13">
      <c r="A201" s="1" t="s">
        <v>37</v>
      </c>
      <c r="B201" s="1" t="s">
        <v>38</v>
      </c>
      <c r="C201" s="1" t="s">
        <v>55</v>
      </c>
      <c r="D201" s="1" t="s">
        <v>46</v>
      </c>
      <c r="E201" s="1" t="s">
        <v>41</v>
      </c>
      <c r="F201" s="1">
        <v>23226</v>
      </c>
      <c r="G201" s="1">
        <v>479</v>
      </c>
      <c r="H201" s="1">
        <v>16</v>
      </c>
      <c r="I201" s="1">
        <v>7472.97</v>
      </c>
      <c r="J201" s="1">
        <v>17304.02</v>
      </c>
      <c r="K201" s="1">
        <v>178</v>
      </c>
      <c r="L201" s="1">
        <v>13</v>
      </c>
      <c r="M201" s="1">
        <v>14</v>
      </c>
    </row>
    <row r="202" spans="1:13">
      <c r="A202" s="1" t="s">
        <v>42</v>
      </c>
      <c r="B202" s="1" t="s">
        <v>43</v>
      </c>
      <c r="C202" s="1" t="s">
        <v>39</v>
      </c>
      <c r="D202" s="1" t="s">
        <v>46</v>
      </c>
      <c r="E202" s="1" t="s">
        <v>41</v>
      </c>
      <c r="F202" s="1">
        <v>24021</v>
      </c>
      <c r="G202" s="1">
        <v>289</v>
      </c>
      <c r="H202" s="1">
        <v>6</v>
      </c>
      <c r="I202" s="1">
        <v>3562.39</v>
      </c>
      <c r="J202" s="1">
        <v>6354.34</v>
      </c>
      <c r="K202" s="1">
        <v>96</v>
      </c>
      <c r="L202" s="1">
        <v>12</v>
      </c>
      <c r="M202" s="1">
        <v>10</v>
      </c>
    </row>
    <row r="203" spans="1:13">
      <c r="A203" s="1" t="s">
        <v>52</v>
      </c>
      <c r="B203" s="1" t="s">
        <v>44</v>
      </c>
      <c r="C203" s="1" t="s">
        <v>55</v>
      </c>
      <c r="D203" s="1" t="s">
        <v>40</v>
      </c>
      <c r="E203" s="1" t="s">
        <v>56</v>
      </c>
      <c r="F203" s="1">
        <v>51501</v>
      </c>
      <c r="G203" s="1">
        <v>1796</v>
      </c>
      <c r="H203" s="1">
        <v>66</v>
      </c>
      <c r="I203" s="1">
        <v>3342.26</v>
      </c>
      <c r="J203" s="1">
        <v>41326.99</v>
      </c>
      <c r="K203" s="1"/>
      <c r="L203" s="1"/>
      <c r="M203" s="1"/>
    </row>
    <row r="204" spans="1:13">
      <c r="A204" s="1" t="s">
        <v>52</v>
      </c>
      <c r="B204" s="1" t="s">
        <v>43</v>
      </c>
      <c r="C204" s="1" t="s">
        <v>54</v>
      </c>
      <c r="D204" s="1" t="s">
        <v>46</v>
      </c>
      <c r="E204" s="1" t="s">
        <v>53</v>
      </c>
      <c r="F204" s="1">
        <v>79925</v>
      </c>
      <c r="G204" s="1"/>
      <c r="H204" s="1">
        <v>133</v>
      </c>
      <c r="I204" s="1">
        <v>3773.87</v>
      </c>
      <c r="J204" s="1">
        <v>97186.78</v>
      </c>
      <c r="K204" s="1"/>
      <c r="L204" s="1"/>
      <c r="M204" s="1"/>
    </row>
    <row r="205" spans="1:13">
      <c r="A205" s="1" t="s">
        <v>42</v>
      </c>
      <c r="B205" s="1" t="s">
        <v>48</v>
      </c>
      <c r="C205" s="1" t="s">
        <v>39</v>
      </c>
      <c r="D205" s="1" t="s">
        <v>40</v>
      </c>
      <c r="E205" s="1" t="s">
        <v>41</v>
      </c>
      <c r="F205" s="1">
        <v>10072</v>
      </c>
      <c r="G205" s="1">
        <v>124</v>
      </c>
      <c r="H205" s="1">
        <v>2</v>
      </c>
      <c r="I205" s="1">
        <v>7557.19</v>
      </c>
      <c r="J205" s="1">
        <v>1971.51</v>
      </c>
      <c r="K205" s="1">
        <v>56</v>
      </c>
      <c r="L205" s="1">
        <v>4</v>
      </c>
      <c r="M205" s="1">
        <v>4</v>
      </c>
    </row>
    <row r="206" spans="1:13">
      <c r="A206" s="1" t="s">
        <v>51</v>
      </c>
      <c r="B206" s="1" t="s">
        <v>38</v>
      </c>
      <c r="C206" s="1" t="s">
        <v>55</v>
      </c>
      <c r="D206" s="1" t="s">
        <v>40</v>
      </c>
      <c r="E206" s="1" t="s">
        <v>50</v>
      </c>
      <c r="F206" s="1">
        <v>63429</v>
      </c>
      <c r="G206" s="1">
        <v>419</v>
      </c>
      <c r="H206" s="1">
        <v>7</v>
      </c>
      <c r="I206" s="1">
        <v>7560.63</v>
      </c>
      <c r="J206" s="1">
        <v>3608.08</v>
      </c>
      <c r="K206" s="1">
        <v>172</v>
      </c>
      <c r="L206" s="1">
        <v>11</v>
      </c>
      <c r="M206" s="1">
        <v>13</v>
      </c>
    </row>
    <row r="207" spans="1:13">
      <c r="A207" s="1" t="s">
        <v>42</v>
      </c>
      <c r="B207" s="1" t="s">
        <v>44</v>
      </c>
      <c r="C207" s="1" t="s">
        <v>45</v>
      </c>
      <c r="D207" s="1" t="s">
        <v>40</v>
      </c>
      <c r="E207" s="1" t="s">
        <v>47</v>
      </c>
      <c r="F207" s="1">
        <v>31163</v>
      </c>
      <c r="G207" s="1">
        <v>290</v>
      </c>
      <c r="H207" s="1">
        <v>10</v>
      </c>
      <c r="I207" s="1">
        <v>2684.43</v>
      </c>
      <c r="J207" s="1">
        <v>13804.62</v>
      </c>
      <c r="K207" s="1">
        <v>143</v>
      </c>
      <c r="L207" s="1">
        <v>7</v>
      </c>
      <c r="M207" s="1">
        <v>8</v>
      </c>
    </row>
    <row r="208" spans="1:13">
      <c r="A208" s="1" t="s">
        <v>51</v>
      </c>
      <c r="B208" s="1" t="s">
        <v>48</v>
      </c>
      <c r="C208" s="1" t="s">
        <v>49</v>
      </c>
      <c r="D208" s="1" t="s">
        <v>46</v>
      </c>
      <c r="E208" s="1" t="s">
        <v>50</v>
      </c>
      <c r="F208" s="1">
        <v>45189</v>
      </c>
      <c r="G208" s="1">
        <v>533</v>
      </c>
      <c r="H208" s="1">
        <v>8</v>
      </c>
      <c r="I208" s="1">
        <v>8194.32</v>
      </c>
      <c r="J208" s="1">
        <v>6642.25</v>
      </c>
      <c r="K208" s="1">
        <v>228</v>
      </c>
      <c r="L208" s="1">
        <v>25</v>
      </c>
      <c r="M208" s="1">
        <v>6</v>
      </c>
    </row>
    <row r="209" spans="1:13">
      <c r="A209" s="1" t="s">
        <v>52</v>
      </c>
      <c r="B209" s="1" t="s">
        <v>44</v>
      </c>
      <c r="C209" s="1" t="s">
        <v>49</v>
      </c>
      <c r="D209" s="1" t="s">
        <v>46</v>
      </c>
      <c r="E209" s="1" t="s">
        <v>53</v>
      </c>
      <c r="F209" s="1">
        <v>66694</v>
      </c>
      <c r="G209" s="1">
        <v>1247</v>
      </c>
      <c r="H209" s="1">
        <v>36</v>
      </c>
      <c r="I209" s="1">
        <v>2966.25</v>
      </c>
      <c r="J209" s="1">
        <v>19105.2</v>
      </c>
      <c r="K209" s="1"/>
      <c r="L209" s="1"/>
      <c r="M209" s="1"/>
    </row>
    <row r="210" spans="1:13">
      <c r="A210" s="1" t="s">
        <v>42</v>
      </c>
      <c r="B210" s="1" t="s">
        <v>44</v>
      </c>
      <c r="C210" s="1" t="s">
        <v>54</v>
      </c>
      <c r="D210" s="1" t="s">
        <v>46</v>
      </c>
      <c r="E210" s="1" t="s">
        <v>41</v>
      </c>
      <c r="F210" s="1">
        <v>54851</v>
      </c>
      <c r="G210" s="1">
        <v>506</v>
      </c>
      <c r="H210" s="1">
        <v>5</v>
      </c>
      <c r="I210" s="1">
        <v>8323.66</v>
      </c>
      <c r="J210" s="1">
        <v>4254.3999999999996</v>
      </c>
      <c r="K210" s="1">
        <v>243</v>
      </c>
      <c r="L210" s="1">
        <v>28</v>
      </c>
      <c r="M210" s="1">
        <v>9</v>
      </c>
    </row>
    <row r="211" spans="1:13">
      <c r="A211" s="1" t="s">
        <v>42</v>
      </c>
      <c r="B211" s="1" t="s">
        <v>44</v>
      </c>
      <c r="C211" s="1" t="s">
        <v>49</v>
      </c>
      <c r="D211" s="1" t="s">
        <v>46</v>
      </c>
      <c r="E211" s="1" t="s">
        <v>41</v>
      </c>
      <c r="F211" s="1">
        <v>39736</v>
      </c>
      <c r="G211" s="1">
        <v>196</v>
      </c>
      <c r="H211" s="1">
        <v>3</v>
      </c>
      <c r="I211" s="1">
        <v>7190.1</v>
      </c>
      <c r="J211" s="1">
        <v>3421.38</v>
      </c>
      <c r="K211" s="1">
        <v>60</v>
      </c>
      <c r="L211" s="1">
        <v>8</v>
      </c>
      <c r="M211" s="1">
        <v>7</v>
      </c>
    </row>
    <row r="212" spans="1:13">
      <c r="A212" s="1" t="s">
        <v>51</v>
      </c>
      <c r="B212" s="1" t="s">
        <v>43</v>
      </c>
      <c r="C212" s="1" t="s">
        <v>49</v>
      </c>
      <c r="D212" s="1" t="s">
        <v>46</v>
      </c>
      <c r="E212" s="1" t="s">
        <v>50</v>
      </c>
      <c r="F212" s="1">
        <v>34895</v>
      </c>
      <c r="G212" s="1">
        <v>433</v>
      </c>
      <c r="H212" s="1">
        <v>9</v>
      </c>
      <c r="I212" s="1">
        <v>6812.39</v>
      </c>
      <c r="J212" s="1">
        <v>8144.17</v>
      </c>
      <c r="K212" s="1">
        <v>197</v>
      </c>
      <c r="L212" s="1">
        <v>22</v>
      </c>
      <c r="M212" s="1">
        <v>6</v>
      </c>
    </row>
    <row r="213" spans="1:13">
      <c r="A213" s="1" t="s">
        <v>37</v>
      </c>
      <c r="B213" s="1" t="s">
        <v>48</v>
      </c>
      <c r="C213" s="1" t="s">
        <v>55</v>
      </c>
      <c r="D213" s="1" t="s">
        <v>40</v>
      </c>
      <c r="E213" s="1" t="s">
        <v>50</v>
      </c>
      <c r="F213" s="1">
        <v>24667</v>
      </c>
      <c r="G213" s="1">
        <v>305</v>
      </c>
      <c r="H213" s="1">
        <v>11</v>
      </c>
      <c r="I213" s="1">
        <v>2447.6799999999998</v>
      </c>
      <c r="J213" s="1">
        <v>15808.85</v>
      </c>
      <c r="K213" s="1">
        <v>120</v>
      </c>
      <c r="L213" s="1">
        <v>11</v>
      </c>
      <c r="M213" s="1">
        <v>9</v>
      </c>
    </row>
    <row r="214" spans="1:13">
      <c r="A214" s="1" t="s">
        <v>51</v>
      </c>
      <c r="B214" s="1" t="s">
        <v>38</v>
      </c>
      <c r="C214" s="1" t="s">
        <v>55</v>
      </c>
      <c r="D214" s="1" t="s">
        <v>40</v>
      </c>
      <c r="E214" s="1" t="s">
        <v>50</v>
      </c>
      <c r="F214" s="1"/>
      <c r="G214" s="1">
        <v>789</v>
      </c>
      <c r="H214" s="1">
        <v>15</v>
      </c>
      <c r="I214" s="1">
        <v>4667.92</v>
      </c>
      <c r="J214" s="1">
        <v>13107.88</v>
      </c>
      <c r="K214" s="1">
        <v>242</v>
      </c>
      <c r="L214" s="1">
        <v>23</v>
      </c>
      <c r="M214" s="1">
        <v>28</v>
      </c>
    </row>
    <row r="215" spans="1:13">
      <c r="A215" s="1" t="s">
        <v>42</v>
      </c>
      <c r="B215" s="1" t="s">
        <v>38</v>
      </c>
      <c r="C215" s="1" t="s">
        <v>39</v>
      </c>
      <c r="D215" s="1" t="s">
        <v>40</v>
      </c>
      <c r="E215" s="1" t="s">
        <v>41</v>
      </c>
      <c r="F215" s="1">
        <v>56807</v>
      </c>
      <c r="G215" s="1">
        <v>277</v>
      </c>
      <c r="H215" s="1">
        <v>8</v>
      </c>
      <c r="I215" s="1">
        <v>6488.46</v>
      </c>
      <c r="J215" s="1">
        <v>10381.73</v>
      </c>
      <c r="K215" s="1">
        <v>99</v>
      </c>
      <c r="L215" s="1">
        <v>6</v>
      </c>
      <c r="M215" s="1">
        <v>10</v>
      </c>
    </row>
    <row r="216" spans="1:13">
      <c r="A216" s="1" t="s">
        <v>51</v>
      </c>
      <c r="B216" s="1" t="s">
        <v>38</v>
      </c>
      <c r="C216" s="1" t="s">
        <v>55</v>
      </c>
      <c r="D216" s="1" t="s">
        <v>46</v>
      </c>
      <c r="E216" s="1" t="s">
        <v>50</v>
      </c>
      <c r="F216" s="1">
        <v>67338</v>
      </c>
      <c r="G216" s="1">
        <v>732</v>
      </c>
      <c r="H216" s="1">
        <v>7</v>
      </c>
      <c r="I216" s="1">
        <v>3330.45</v>
      </c>
      <c r="J216" s="1">
        <v>5878.63</v>
      </c>
      <c r="K216" s="1">
        <v>325</v>
      </c>
      <c r="L216" s="1">
        <v>33</v>
      </c>
      <c r="M216" s="1">
        <v>28</v>
      </c>
    </row>
    <row r="217" spans="1:13">
      <c r="A217" s="1" t="s">
        <v>37</v>
      </c>
      <c r="B217" s="1" t="s">
        <v>38</v>
      </c>
      <c r="C217" s="1" t="s">
        <v>39</v>
      </c>
      <c r="D217" s="1" t="s">
        <v>46</v>
      </c>
      <c r="E217" s="1" t="s">
        <v>50</v>
      </c>
      <c r="F217" s="1">
        <v>44519</v>
      </c>
      <c r="G217" s="1">
        <v>825</v>
      </c>
      <c r="H217" s="1">
        <v>19</v>
      </c>
      <c r="I217" s="1">
        <v>7929.83</v>
      </c>
      <c r="J217" s="1">
        <v>21827.07</v>
      </c>
      <c r="K217" s="1">
        <v>361</v>
      </c>
      <c r="L217" s="1">
        <v>48</v>
      </c>
      <c r="M217" s="1">
        <v>14</v>
      </c>
    </row>
    <row r="218" spans="1:13">
      <c r="A218" s="1" t="s">
        <v>37</v>
      </c>
      <c r="B218" s="1" t="s">
        <v>44</v>
      </c>
      <c r="C218" s="1" t="s">
        <v>49</v>
      </c>
      <c r="D218" s="1" t="s">
        <v>40</v>
      </c>
      <c r="E218" s="1" t="s">
        <v>50</v>
      </c>
      <c r="F218" s="1">
        <v>79743</v>
      </c>
      <c r="G218" s="1">
        <v>1577</v>
      </c>
      <c r="H218" s="1">
        <v>53</v>
      </c>
      <c r="I218" s="1"/>
      <c r="J218" s="1">
        <v>47934.32</v>
      </c>
      <c r="K218" s="1">
        <v>512</v>
      </c>
      <c r="L218" s="1">
        <v>84</v>
      </c>
      <c r="M218" s="1">
        <v>23</v>
      </c>
    </row>
    <row r="219" spans="1:13">
      <c r="A219" s="1" t="s">
        <v>52</v>
      </c>
      <c r="B219" s="1" t="s">
        <v>44</v>
      </c>
      <c r="C219" s="1" t="s">
        <v>55</v>
      </c>
      <c r="D219" s="1" t="s">
        <v>40</v>
      </c>
      <c r="E219" s="1" t="s">
        <v>53</v>
      </c>
      <c r="F219" s="1">
        <v>37999</v>
      </c>
      <c r="G219" s="1">
        <v>361</v>
      </c>
      <c r="H219" s="1">
        <v>14</v>
      </c>
      <c r="I219" s="1">
        <v>6341.86</v>
      </c>
      <c r="J219" s="1">
        <v>8578.93</v>
      </c>
      <c r="K219" s="1"/>
      <c r="L219" s="1"/>
      <c r="M219" s="1"/>
    </row>
    <row r="220" spans="1:13">
      <c r="A220" s="1" t="s">
        <v>42</v>
      </c>
      <c r="B220" s="1" t="s">
        <v>38</v>
      </c>
      <c r="C220" s="1" t="s">
        <v>55</v>
      </c>
      <c r="D220" s="1" t="s">
        <v>40</v>
      </c>
      <c r="E220" s="1" t="s">
        <v>47</v>
      </c>
      <c r="F220" s="1">
        <v>70879</v>
      </c>
      <c r="G220" s="1">
        <v>852</v>
      </c>
      <c r="H220" s="1">
        <v>22</v>
      </c>
      <c r="I220" s="1">
        <v>6662.85</v>
      </c>
      <c r="J220" s="1">
        <v>16520.12</v>
      </c>
      <c r="K220" s="1">
        <v>405</v>
      </c>
      <c r="L220" s="1">
        <v>26</v>
      </c>
      <c r="M220" s="1">
        <v>26</v>
      </c>
    </row>
    <row r="221" spans="1:13">
      <c r="A221" s="1" t="s">
        <v>42</v>
      </c>
      <c r="B221" s="1" t="s">
        <v>38</v>
      </c>
      <c r="C221" s="1" t="s">
        <v>45</v>
      </c>
      <c r="D221" s="1" t="s">
        <v>40</v>
      </c>
      <c r="E221" s="1" t="s">
        <v>47</v>
      </c>
      <c r="F221" s="1">
        <v>12248</v>
      </c>
      <c r="G221" s="1">
        <v>59</v>
      </c>
      <c r="H221" s="1">
        <v>0</v>
      </c>
      <c r="I221" s="1">
        <v>6021.55</v>
      </c>
      <c r="J221" s="1">
        <v>0</v>
      </c>
      <c r="K221" s="1">
        <v>25</v>
      </c>
      <c r="L221" s="1">
        <v>3</v>
      </c>
      <c r="M221" s="1">
        <v>1</v>
      </c>
    </row>
    <row r="222" spans="1:13">
      <c r="A222" s="1" t="s">
        <v>42</v>
      </c>
      <c r="B222" s="1" t="s">
        <v>44</v>
      </c>
      <c r="C222" s="1" t="s">
        <v>45</v>
      </c>
      <c r="D222" s="1" t="s">
        <v>40</v>
      </c>
      <c r="E222" s="1" t="s">
        <v>41</v>
      </c>
      <c r="F222" s="1">
        <v>29498</v>
      </c>
      <c r="G222" s="1">
        <v>295</v>
      </c>
      <c r="H222" s="1">
        <v>5</v>
      </c>
      <c r="I222" s="1">
        <v>3973.39</v>
      </c>
      <c r="J222" s="1">
        <v>7365.26</v>
      </c>
      <c r="K222" s="1">
        <v>100</v>
      </c>
      <c r="L222" s="1">
        <v>11</v>
      </c>
      <c r="M222" s="1">
        <v>6</v>
      </c>
    </row>
    <row r="223" spans="1:13">
      <c r="A223" s="1" t="s">
        <v>52</v>
      </c>
      <c r="B223" s="1" t="s">
        <v>44</v>
      </c>
      <c r="C223" s="1" t="s">
        <v>39</v>
      </c>
      <c r="D223" s="1" t="s">
        <v>40</v>
      </c>
      <c r="E223" s="1" t="s">
        <v>56</v>
      </c>
      <c r="F223" s="1">
        <v>70404</v>
      </c>
      <c r="G223" s="1">
        <v>820</v>
      </c>
      <c r="H223" s="1">
        <v>27</v>
      </c>
      <c r="I223" s="1">
        <v>6201.59</v>
      </c>
      <c r="J223" s="1">
        <v>36349.4</v>
      </c>
      <c r="K223" s="1"/>
      <c r="L223" s="1"/>
      <c r="M223" s="1"/>
    </row>
    <row r="224" spans="1:13">
      <c r="A224" s="1" t="s">
        <v>51</v>
      </c>
      <c r="B224" s="1" t="s">
        <v>43</v>
      </c>
      <c r="C224" s="1" t="s">
        <v>39</v>
      </c>
      <c r="D224" s="1" t="s">
        <v>46</v>
      </c>
      <c r="E224" s="1" t="s">
        <v>50</v>
      </c>
      <c r="F224" s="1">
        <v>76535</v>
      </c>
      <c r="G224" s="1">
        <v>1006</v>
      </c>
      <c r="H224" s="1">
        <v>9</v>
      </c>
      <c r="I224" s="1">
        <v>4044.64</v>
      </c>
      <c r="J224" s="1">
        <v>7213.38</v>
      </c>
      <c r="K224" s="1">
        <v>360</v>
      </c>
      <c r="L224" s="1">
        <v>39</v>
      </c>
      <c r="M224" s="1">
        <v>29</v>
      </c>
    </row>
    <row r="225" spans="1:13">
      <c r="A225" s="1" t="s">
        <v>51</v>
      </c>
      <c r="B225" s="1" t="s">
        <v>38</v>
      </c>
      <c r="C225" s="1" t="s">
        <v>49</v>
      </c>
      <c r="D225" s="1" t="s">
        <v>46</v>
      </c>
      <c r="E225" s="1" t="s">
        <v>50</v>
      </c>
      <c r="F225" s="1">
        <v>35818</v>
      </c>
      <c r="G225" s="1">
        <v>283</v>
      </c>
      <c r="H225" s="1">
        <v>6</v>
      </c>
      <c r="I225" s="1">
        <v>5594.28</v>
      </c>
      <c r="J225" s="1">
        <v>6048.82</v>
      </c>
      <c r="K225" s="1">
        <v>134</v>
      </c>
      <c r="L225" s="1">
        <v>11</v>
      </c>
      <c r="M225" s="1">
        <v>10</v>
      </c>
    </row>
    <row r="226" spans="1:13">
      <c r="A226" s="1" t="s">
        <v>37</v>
      </c>
      <c r="B226" s="1" t="s">
        <v>48</v>
      </c>
      <c r="C226" s="1" t="s">
        <v>39</v>
      </c>
      <c r="D226" s="1" t="s">
        <v>40</v>
      </c>
      <c r="E226" s="1" t="s">
        <v>50</v>
      </c>
      <c r="F226" s="1">
        <v>54983</v>
      </c>
      <c r="G226" s="1">
        <v>850</v>
      </c>
      <c r="H226" s="1">
        <v>36</v>
      </c>
      <c r="I226" s="1">
        <v>6505.56</v>
      </c>
      <c r="J226" s="1">
        <v>45315.839999999997</v>
      </c>
      <c r="K226" s="1">
        <v>294</v>
      </c>
      <c r="L226" s="1">
        <v>43</v>
      </c>
      <c r="M226" s="1">
        <v>28</v>
      </c>
    </row>
    <row r="227" spans="1:13">
      <c r="A227" s="1" t="s">
        <v>37</v>
      </c>
      <c r="B227" s="1" t="s">
        <v>38</v>
      </c>
      <c r="C227" s="1" t="s">
        <v>45</v>
      </c>
      <c r="D227" s="1" t="s">
        <v>46</v>
      </c>
      <c r="E227" s="1" t="s">
        <v>41</v>
      </c>
      <c r="F227" s="1">
        <v>14364</v>
      </c>
      <c r="G227" s="1"/>
      <c r="H227" s="1">
        <v>4</v>
      </c>
      <c r="I227" s="1">
        <v>5050.9399999999996</v>
      </c>
      <c r="J227" s="1">
        <v>5277.65</v>
      </c>
      <c r="K227" s="1">
        <v>79</v>
      </c>
      <c r="L227" s="1">
        <v>4</v>
      </c>
      <c r="M227" s="1">
        <v>3</v>
      </c>
    </row>
    <row r="228" spans="1:13">
      <c r="A228" s="1" t="s">
        <v>51</v>
      </c>
      <c r="B228" s="1" t="s">
        <v>44</v>
      </c>
      <c r="C228" s="1" t="s">
        <v>55</v>
      </c>
      <c r="D228" s="1" t="s">
        <v>40</v>
      </c>
      <c r="E228" s="1" t="s">
        <v>50</v>
      </c>
      <c r="F228" s="1"/>
      <c r="G228" s="1">
        <v>331</v>
      </c>
      <c r="H228" s="1">
        <v>3</v>
      </c>
      <c r="I228" s="1">
        <v>8945.34</v>
      </c>
      <c r="J228" s="1">
        <v>1599.87</v>
      </c>
      <c r="K228" s="1">
        <v>128</v>
      </c>
      <c r="L228" s="1">
        <v>14</v>
      </c>
      <c r="M228" s="1">
        <v>9</v>
      </c>
    </row>
    <row r="229" spans="1:13">
      <c r="A229" s="1" t="s">
        <v>42</v>
      </c>
      <c r="B229" s="1" t="s">
        <v>44</v>
      </c>
      <c r="C229" s="1" t="s">
        <v>55</v>
      </c>
      <c r="D229" s="1" t="s">
        <v>40</v>
      </c>
      <c r="E229" s="1" t="s">
        <v>41</v>
      </c>
      <c r="F229" s="1">
        <v>70386</v>
      </c>
      <c r="G229" s="1">
        <v>97</v>
      </c>
      <c r="H229" s="1">
        <v>2</v>
      </c>
      <c r="I229" s="1">
        <v>8192.19</v>
      </c>
      <c r="J229" s="1">
        <v>1634.68</v>
      </c>
      <c r="K229" s="1">
        <v>37</v>
      </c>
      <c r="L229" s="1">
        <v>2</v>
      </c>
      <c r="M229" s="1">
        <v>1</v>
      </c>
    </row>
    <row r="230" spans="1:13">
      <c r="A230" s="1" t="s">
        <v>42</v>
      </c>
      <c r="B230" s="1" t="s">
        <v>44</v>
      </c>
      <c r="C230" s="1" t="s">
        <v>55</v>
      </c>
      <c r="D230" s="1" t="s">
        <v>46</v>
      </c>
      <c r="E230" s="1" t="s">
        <v>41</v>
      </c>
      <c r="F230" s="1">
        <v>74227</v>
      </c>
      <c r="G230" s="1">
        <v>843</v>
      </c>
      <c r="H230" s="1">
        <v>15</v>
      </c>
      <c r="I230" s="1">
        <v>2055.4499999999998</v>
      </c>
      <c r="J230" s="1"/>
      <c r="K230" s="1">
        <v>370</v>
      </c>
      <c r="L230" s="1">
        <v>48</v>
      </c>
      <c r="M230" s="1">
        <v>29</v>
      </c>
    </row>
    <row r="231" spans="1:13">
      <c r="A231" s="1" t="s">
        <v>42</v>
      </c>
      <c r="B231" s="1" t="s">
        <v>43</v>
      </c>
      <c r="C231" s="1" t="s">
        <v>45</v>
      </c>
      <c r="D231" s="1" t="s">
        <v>40</v>
      </c>
      <c r="E231" s="1" t="s">
        <v>41</v>
      </c>
      <c r="F231" s="1">
        <v>58847</v>
      </c>
      <c r="G231" s="1">
        <v>982</v>
      </c>
      <c r="H231" s="1">
        <v>21</v>
      </c>
      <c r="I231" s="1">
        <v>6827.73</v>
      </c>
      <c r="J231" s="1">
        <v>21252.1</v>
      </c>
      <c r="K231" s="1">
        <v>350</v>
      </c>
      <c r="L231" s="1">
        <v>38</v>
      </c>
      <c r="M231" s="1">
        <v>18</v>
      </c>
    </row>
    <row r="232" spans="1:13">
      <c r="A232" s="1" t="s">
        <v>52</v>
      </c>
      <c r="B232" s="1" t="s">
        <v>38</v>
      </c>
      <c r="C232" s="1" t="s">
        <v>55</v>
      </c>
      <c r="D232" s="1" t="s">
        <v>46</v>
      </c>
      <c r="E232" s="1" t="s">
        <v>53</v>
      </c>
      <c r="F232" s="1">
        <v>22757</v>
      </c>
      <c r="G232" s="1">
        <v>364</v>
      </c>
      <c r="H232" s="1">
        <v>9</v>
      </c>
      <c r="I232" s="1">
        <v>8441.68</v>
      </c>
      <c r="J232" s="1">
        <v>9536.85</v>
      </c>
      <c r="K232" s="1"/>
      <c r="L232" s="1"/>
      <c r="M232" s="1"/>
    </row>
    <row r="233" spans="1:13">
      <c r="A233" s="1" t="s">
        <v>58</v>
      </c>
      <c r="B233" s="1" t="s">
        <v>48</v>
      </c>
      <c r="C233" s="1" t="s">
        <v>49</v>
      </c>
      <c r="D233" s="1" t="s">
        <v>40</v>
      </c>
      <c r="E233" s="1" t="s">
        <v>50</v>
      </c>
      <c r="F233" s="1">
        <v>11685</v>
      </c>
      <c r="G233" s="1">
        <v>86</v>
      </c>
      <c r="H233" s="1"/>
      <c r="I233" s="1">
        <v>5139.76</v>
      </c>
      <c r="J233" s="1">
        <v>3422</v>
      </c>
      <c r="K233" s="1">
        <v>26</v>
      </c>
      <c r="L233" s="1">
        <v>4</v>
      </c>
      <c r="M233" s="1">
        <v>2</v>
      </c>
    </row>
    <row r="234" spans="1:13">
      <c r="A234" s="1" t="s">
        <v>42</v>
      </c>
      <c r="B234" s="1" t="s">
        <v>44</v>
      </c>
      <c r="C234" s="1" t="s">
        <v>39</v>
      </c>
      <c r="D234" s="1" t="s">
        <v>46</v>
      </c>
      <c r="E234" s="1" t="s">
        <v>47</v>
      </c>
      <c r="F234" s="1">
        <v>59374</v>
      </c>
      <c r="G234" s="1">
        <v>572</v>
      </c>
      <c r="H234" s="1">
        <v>6</v>
      </c>
      <c r="I234" s="1">
        <v>5662.4</v>
      </c>
      <c r="J234" s="1">
        <v>5013.08</v>
      </c>
      <c r="K234" s="1">
        <v>206</v>
      </c>
      <c r="L234" s="1">
        <v>13</v>
      </c>
      <c r="M234" s="1">
        <v>12</v>
      </c>
    </row>
    <row r="235" spans="1:13">
      <c r="A235" s="1" t="s">
        <v>37</v>
      </c>
      <c r="B235" s="1" t="s">
        <v>43</v>
      </c>
      <c r="C235" s="1" t="s">
        <v>49</v>
      </c>
      <c r="D235" s="1" t="s">
        <v>40</v>
      </c>
      <c r="E235" s="1" t="s">
        <v>50</v>
      </c>
      <c r="F235" s="1">
        <v>78404</v>
      </c>
      <c r="G235" s="1">
        <v>1076</v>
      </c>
      <c r="H235" s="1">
        <v>30</v>
      </c>
      <c r="I235" s="1">
        <v>6085.71</v>
      </c>
      <c r="J235" s="1">
        <v>35523.129999999997</v>
      </c>
      <c r="K235" s="1">
        <v>434</v>
      </c>
      <c r="L235" s="1">
        <v>29</v>
      </c>
      <c r="M235" s="1">
        <v>14</v>
      </c>
    </row>
    <row r="236" spans="1:13">
      <c r="A236" s="1" t="s">
        <v>37</v>
      </c>
      <c r="B236" s="1" t="s">
        <v>48</v>
      </c>
      <c r="C236" s="1" t="s">
        <v>54</v>
      </c>
      <c r="D236" s="1" t="s">
        <v>46</v>
      </c>
      <c r="E236" s="1" t="s">
        <v>50</v>
      </c>
      <c r="F236" s="1">
        <v>62355</v>
      </c>
      <c r="G236" s="1">
        <v>526</v>
      </c>
      <c r="H236" s="1">
        <v>17</v>
      </c>
      <c r="I236" s="1">
        <v>2909.88</v>
      </c>
      <c r="J236" s="1">
        <v>9554.51</v>
      </c>
      <c r="K236" s="1">
        <v>232</v>
      </c>
      <c r="L236" s="1">
        <v>26</v>
      </c>
      <c r="M236" s="1">
        <v>19</v>
      </c>
    </row>
    <row r="237" spans="1:13">
      <c r="A237" s="1" t="s">
        <v>42</v>
      </c>
      <c r="B237" s="1" t="s">
        <v>38</v>
      </c>
      <c r="C237" s="1" t="s">
        <v>49</v>
      </c>
      <c r="D237" s="1" t="s">
        <v>46</v>
      </c>
      <c r="E237" s="1" t="s">
        <v>47</v>
      </c>
      <c r="F237" s="1">
        <v>15297</v>
      </c>
      <c r="G237" s="1">
        <v>151</v>
      </c>
      <c r="H237" s="1">
        <v>3</v>
      </c>
      <c r="I237" s="1">
        <v>7369.58</v>
      </c>
      <c r="J237" s="1">
        <v>3549.07</v>
      </c>
      <c r="K237" s="1">
        <v>61</v>
      </c>
      <c r="L237" s="1">
        <v>7</v>
      </c>
      <c r="M237" s="1">
        <v>4</v>
      </c>
    </row>
    <row r="238" spans="1:13">
      <c r="A238" s="1" t="s">
        <v>52</v>
      </c>
      <c r="B238" s="1" t="s">
        <v>48</v>
      </c>
      <c r="C238" s="1" t="s">
        <v>54</v>
      </c>
      <c r="D238" s="1" t="s">
        <v>46</v>
      </c>
      <c r="E238" s="1" t="s">
        <v>56</v>
      </c>
      <c r="F238" s="1">
        <v>51513</v>
      </c>
      <c r="G238" s="1">
        <v>1686</v>
      </c>
      <c r="H238" s="1">
        <v>85</v>
      </c>
      <c r="I238" s="1">
        <v>7478.37</v>
      </c>
      <c r="J238" s="1">
        <v>62486</v>
      </c>
      <c r="K238" s="1"/>
      <c r="L238" s="1"/>
      <c r="M238" s="1"/>
    </row>
    <row r="239" spans="1:13">
      <c r="A239" s="1" t="s">
        <v>51</v>
      </c>
      <c r="B239" s="1" t="s">
        <v>62</v>
      </c>
      <c r="C239" s="1" t="s">
        <v>39</v>
      </c>
      <c r="D239" s="1" t="s">
        <v>40</v>
      </c>
      <c r="E239" s="1" t="s">
        <v>50</v>
      </c>
      <c r="F239" s="1">
        <v>51577</v>
      </c>
      <c r="G239" s="1">
        <v>668</v>
      </c>
      <c r="H239" s="1">
        <v>11</v>
      </c>
      <c r="I239" s="1">
        <v>6656.28</v>
      </c>
      <c r="J239" s="1">
        <v>14258.43</v>
      </c>
      <c r="K239" s="1">
        <v>253</v>
      </c>
      <c r="L239" s="1">
        <v>31</v>
      </c>
      <c r="M239" s="1">
        <v>18</v>
      </c>
    </row>
    <row r="240" spans="1:13">
      <c r="A240" s="1" t="s">
        <v>42</v>
      </c>
      <c r="B240" s="1" t="s">
        <v>48</v>
      </c>
      <c r="C240" s="1" t="s">
        <v>39</v>
      </c>
      <c r="D240" s="1" t="s">
        <v>40</v>
      </c>
      <c r="E240" s="1" t="s">
        <v>50</v>
      </c>
      <c r="F240" s="1">
        <v>68028</v>
      </c>
      <c r="G240" s="1">
        <v>704</v>
      </c>
      <c r="H240" s="1">
        <v>18</v>
      </c>
      <c r="I240" s="1">
        <v>3505.76</v>
      </c>
      <c r="J240" s="1">
        <v>24608.66</v>
      </c>
      <c r="K240" s="1">
        <v>238</v>
      </c>
      <c r="L240" s="1">
        <v>20</v>
      </c>
      <c r="M240" s="1">
        <v>15</v>
      </c>
    </row>
    <row r="241" spans="1:13">
      <c r="A241" s="1" t="s">
        <v>52</v>
      </c>
      <c r="B241" s="1" t="s">
        <v>43</v>
      </c>
      <c r="C241" s="1" t="s">
        <v>39</v>
      </c>
      <c r="D241" s="1" t="s">
        <v>40</v>
      </c>
      <c r="E241" s="1" t="s">
        <v>56</v>
      </c>
      <c r="F241" s="1">
        <v>27460</v>
      </c>
      <c r="G241" s="1">
        <v>775</v>
      </c>
      <c r="H241" s="1">
        <v>28</v>
      </c>
      <c r="I241" s="1">
        <v>8568.4</v>
      </c>
      <c r="J241" s="1">
        <v>40088.120000000003</v>
      </c>
      <c r="K241" s="1"/>
      <c r="L241" s="1"/>
      <c r="M241" s="1"/>
    </row>
    <row r="242" spans="1:13">
      <c r="A242" s="1" t="s">
        <v>37</v>
      </c>
      <c r="B242" s="1" t="s">
        <v>38</v>
      </c>
      <c r="C242" s="1" t="s">
        <v>45</v>
      </c>
      <c r="D242" s="1" t="s">
        <v>46</v>
      </c>
      <c r="E242" s="1" t="s">
        <v>47</v>
      </c>
      <c r="F242" s="1">
        <v>29941</v>
      </c>
      <c r="G242" s="1">
        <v>413</v>
      </c>
      <c r="H242" s="1">
        <v>10</v>
      </c>
      <c r="I242" s="1">
        <v>4170.5600000000004</v>
      </c>
      <c r="J242" s="1">
        <v>8745.1</v>
      </c>
      <c r="K242" s="1">
        <v>174</v>
      </c>
      <c r="L242" s="1">
        <v>11</v>
      </c>
      <c r="M242" s="1">
        <v>14</v>
      </c>
    </row>
    <row r="243" spans="1:13">
      <c r="A243" s="1" t="s">
        <v>37</v>
      </c>
      <c r="B243" s="1" t="s">
        <v>43</v>
      </c>
      <c r="C243" s="1" t="s">
        <v>39</v>
      </c>
      <c r="D243" s="1" t="s">
        <v>46</v>
      </c>
      <c r="E243" s="1" t="s">
        <v>50</v>
      </c>
      <c r="F243" s="1">
        <v>15323</v>
      </c>
      <c r="G243" s="1">
        <v>154</v>
      </c>
      <c r="H243" s="1">
        <v>4</v>
      </c>
      <c r="I243" s="1">
        <v>8451.35</v>
      </c>
      <c r="J243" s="1">
        <v>3775.26</v>
      </c>
      <c r="K243" s="1">
        <v>52</v>
      </c>
      <c r="L243" s="1">
        <v>3</v>
      </c>
      <c r="M243" s="1">
        <v>4</v>
      </c>
    </row>
    <row r="244" spans="1:13">
      <c r="A244" s="1" t="s">
        <v>42</v>
      </c>
      <c r="B244" s="1" t="s">
        <v>44</v>
      </c>
      <c r="C244" s="1" t="s">
        <v>45</v>
      </c>
      <c r="D244" s="1" t="s">
        <v>46</v>
      </c>
      <c r="E244" s="1" t="s">
        <v>50</v>
      </c>
      <c r="F244" s="1">
        <v>62630</v>
      </c>
      <c r="G244" s="1">
        <v>781</v>
      </c>
      <c r="H244" s="1"/>
      <c r="I244" s="1">
        <v>6731.61</v>
      </c>
      <c r="J244" s="1">
        <v>17536.3</v>
      </c>
      <c r="K244" s="1">
        <v>254</v>
      </c>
      <c r="L244" s="1">
        <v>32</v>
      </c>
      <c r="M244" s="1">
        <v>14</v>
      </c>
    </row>
    <row r="245" spans="1:13">
      <c r="A245" s="1" t="s">
        <v>51</v>
      </c>
      <c r="B245" s="1" t="s">
        <v>44</v>
      </c>
      <c r="C245" s="1" t="s">
        <v>54</v>
      </c>
      <c r="D245" s="1" t="s">
        <v>46</v>
      </c>
      <c r="E245" s="1" t="s">
        <v>50</v>
      </c>
      <c r="F245" s="1">
        <v>32131</v>
      </c>
      <c r="G245" s="1">
        <v>232</v>
      </c>
      <c r="H245" s="1">
        <v>4</v>
      </c>
      <c r="I245" s="1">
        <v>3163.26</v>
      </c>
      <c r="J245" s="1">
        <v>5423.32</v>
      </c>
      <c r="K245" s="1">
        <v>73</v>
      </c>
      <c r="L245" s="1">
        <v>5</v>
      </c>
      <c r="M245" s="1">
        <v>3</v>
      </c>
    </row>
    <row r="246" spans="1:13">
      <c r="A246" s="1" t="s">
        <v>37</v>
      </c>
      <c r="B246" s="1" t="s">
        <v>44</v>
      </c>
      <c r="C246" s="1" t="s">
        <v>49</v>
      </c>
      <c r="D246" s="1" t="s">
        <v>46</v>
      </c>
      <c r="E246" s="1" t="s">
        <v>50</v>
      </c>
      <c r="F246" s="1">
        <v>62136</v>
      </c>
      <c r="G246" s="1">
        <v>1209</v>
      </c>
      <c r="H246" s="1">
        <v>35</v>
      </c>
      <c r="I246" s="1">
        <v>4996.68</v>
      </c>
      <c r="J246" s="1">
        <v>46374.65</v>
      </c>
      <c r="K246" s="1">
        <v>499</v>
      </c>
      <c r="L246" s="1">
        <v>34</v>
      </c>
      <c r="M246" s="1">
        <v>23</v>
      </c>
    </row>
    <row r="247" spans="1:13">
      <c r="A247" s="1" t="s">
        <v>42</v>
      </c>
      <c r="B247" s="1" t="s">
        <v>43</v>
      </c>
      <c r="C247" s="1" t="s">
        <v>55</v>
      </c>
      <c r="D247" s="1" t="s">
        <v>46</v>
      </c>
      <c r="E247" s="1" t="s">
        <v>47</v>
      </c>
      <c r="F247" s="1">
        <v>42207</v>
      </c>
      <c r="G247" s="1">
        <v>213</v>
      </c>
      <c r="H247" s="1">
        <v>2</v>
      </c>
      <c r="I247" s="1">
        <v>3742.15</v>
      </c>
      <c r="J247" s="1">
        <v>2649.83</v>
      </c>
      <c r="K247" s="1">
        <v>99</v>
      </c>
      <c r="L247" s="1">
        <v>5</v>
      </c>
      <c r="M247" s="1">
        <v>3</v>
      </c>
    </row>
    <row r="248" spans="1:13">
      <c r="A248" s="1" t="s">
        <v>42</v>
      </c>
      <c r="B248" s="1" t="s">
        <v>48</v>
      </c>
      <c r="C248" s="1" t="s">
        <v>45</v>
      </c>
      <c r="D248" s="1" t="s">
        <v>46</v>
      </c>
      <c r="E248" s="1" t="s">
        <v>41</v>
      </c>
      <c r="F248" s="1">
        <v>25696</v>
      </c>
      <c r="G248" s="1">
        <v>189</v>
      </c>
      <c r="H248" s="1">
        <v>4</v>
      </c>
      <c r="I248" s="1">
        <v>5527.11</v>
      </c>
      <c r="J248" s="1">
        <v>4191.0600000000004</v>
      </c>
      <c r="K248" s="1">
        <v>92</v>
      </c>
      <c r="L248" s="1">
        <v>4</v>
      </c>
      <c r="M248" s="1">
        <v>2</v>
      </c>
    </row>
    <row r="249" spans="1:13">
      <c r="A249" s="1" t="s">
        <v>52</v>
      </c>
      <c r="B249" s="1" t="s">
        <v>48</v>
      </c>
      <c r="C249" s="1" t="s">
        <v>39</v>
      </c>
      <c r="D249" s="1" t="s">
        <v>40</v>
      </c>
      <c r="E249" s="1" t="s">
        <v>53</v>
      </c>
      <c r="F249" s="1">
        <v>77437</v>
      </c>
      <c r="G249" s="1">
        <v>2357</v>
      </c>
      <c r="H249" s="1">
        <v>73</v>
      </c>
      <c r="I249" s="1"/>
      <c r="J249" s="1">
        <v>105055.66</v>
      </c>
      <c r="K249" s="1"/>
      <c r="L249" s="1"/>
      <c r="M249" s="1"/>
    </row>
    <row r="250" spans="1:13">
      <c r="A250" s="1" t="s">
        <v>42</v>
      </c>
      <c r="B250" s="1" t="s">
        <v>44</v>
      </c>
      <c r="C250" s="1" t="s">
        <v>54</v>
      </c>
      <c r="D250" s="1" t="s">
        <v>40</v>
      </c>
      <c r="E250" s="1"/>
      <c r="F250" s="1">
        <v>54372</v>
      </c>
      <c r="G250" s="1">
        <v>302</v>
      </c>
      <c r="H250" s="1">
        <v>6</v>
      </c>
      <c r="I250" s="1">
        <v>8864.8799999999992</v>
      </c>
      <c r="J250" s="1"/>
      <c r="K250" s="1">
        <v>147</v>
      </c>
      <c r="L250" s="1">
        <v>11</v>
      </c>
      <c r="M250" s="1">
        <v>5</v>
      </c>
    </row>
    <row r="251" spans="1:13">
      <c r="A251" s="1" t="s">
        <v>51</v>
      </c>
      <c r="B251" s="1" t="s">
        <v>43</v>
      </c>
      <c r="C251" s="1" t="s">
        <v>54</v>
      </c>
      <c r="D251" s="1" t="s">
        <v>46</v>
      </c>
      <c r="E251" s="1" t="s">
        <v>50</v>
      </c>
      <c r="F251" s="1">
        <v>48882</v>
      </c>
      <c r="G251" s="1">
        <v>377</v>
      </c>
      <c r="H251" s="1">
        <v>7</v>
      </c>
      <c r="I251" s="1">
        <v>7054.19</v>
      </c>
      <c r="J251" s="1">
        <v>4460.12</v>
      </c>
      <c r="K251" s="1">
        <v>184</v>
      </c>
      <c r="L251" s="1">
        <v>17</v>
      </c>
      <c r="M251" s="1">
        <v>15</v>
      </c>
    </row>
    <row r="252" spans="1:13">
      <c r="A252" s="1" t="s">
        <v>52</v>
      </c>
      <c r="B252" s="1" t="s">
        <v>38</v>
      </c>
      <c r="C252" s="1" t="s">
        <v>55</v>
      </c>
      <c r="D252" s="1" t="s">
        <v>40</v>
      </c>
      <c r="E252" s="1" t="s">
        <v>53</v>
      </c>
      <c r="F252" s="1">
        <v>67270</v>
      </c>
      <c r="G252" s="1">
        <v>1996</v>
      </c>
      <c r="H252" s="1">
        <v>48</v>
      </c>
      <c r="I252" s="1">
        <v>7446.4</v>
      </c>
      <c r="J252" s="1">
        <v>67646.77</v>
      </c>
      <c r="K252" s="1"/>
      <c r="L252" s="1"/>
      <c r="M252" s="1"/>
    </row>
    <row r="253" spans="1:13">
      <c r="A253" s="1" t="s">
        <v>52</v>
      </c>
      <c r="B253" s="1" t="s">
        <v>48</v>
      </c>
      <c r="C253" s="1" t="s">
        <v>39</v>
      </c>
      <c r="D253" s="1" t="s">
        <v>40</v>
      </c>
      <c r="E253" s="1" t="s">
        <v>56</v>
      </c>
      <c r="F253" s="1">
        <v>74084</v>
      </c>
      <c r="G253" s="1">
        <v>2489</v>
      </c>
      <c r="H253" s="1">
        <v>114</v>
      </c>
      <c r="I253" s="1">
        <v>7621.81</v>
      </c>
      <c r="J253" s="1">
        <v>83266.78</v>
      </c>
      <c r="K253" s="1"/>
      <c r="L253" s="1"/>
      <c r="M253" s="1"/>
    </row>
    <row r="254" spans="1:13">
      <c r="A254" s="1" t="s">
        <v>52</v>
      </c>
      <c r="B254" s="1" t="s">
        <v>43</v>
      </c>
      <c r="C254" s="1" t="s">
        <v>49</v>
      </c>
      <c r="D254" s="1" t="s">
        <v>46</v>
      </c>
      <c r="E254" s="1" t="s">
        <v>56</v>
      </c>
      <c r="F254" s="1">
        <v>65115</v>
      </c>
      <c r="G254" s="1">
        <v>2493</v>
      </c>
      <c r="H254" s="1">
        <v>86</v>
      </c>
      <c r="I254" s="1">
        <v>8634</v>
      </c>
      <c r="J254" s="1">
        <v>115602.86</v>
      </c>
      <c r="K254" s="1"/>
      <c r="L254" s="1"/>
      <c r="M254" s="1"/>
    </row>
    <row r="255" spans="1:13">
      <c r="A255" s="1" t="s">
        <v>42</v>
      </c>
      <c r="B255" s="1" t="s">
        <v>48</v>
      </c>
      <c r="C255" s="1" t="s">
        <v>39</v>
      </c>
      <c r="D255" s="1" t="s">
        <v>40</v>
      </c>
      <c r="E255" s="1" t="s">
        <v>47</v>
      </c>
      <c r="F255" s="1">
        <v>50251</v>
      </c>
      <c r="G255" s="1">
        <v>343</v>
      </c>
      <c r="H255" s="1">
        <v>9</v>
      </c>
      <c r="I255" s="1">
        <v>2897.4</v>
      </c>
      <c r="J255" s="1">
        <v>11379.01</v>
      </c>
      <c r="K255" s="1">
        <v>160</v>
      </c>
      <c r="L255" s="1">
        <v>12</v>
      </c>
      <c r="M255" s="1">
        <v>10</v>
      </c>
    </row>
    <row r="256" spans="1:13">
      <c r="A256" s="1" t="s">
        <v>42</v>
      </c>
      <c r="B256" s="1" t="s">
        <v>38</v>
      </c>
      <c r="C256" s="1" t="s">
        <v>39</v>
      </c>
      <c r="D256" s="1" t="s">
        <v>46</v>
      </c>
      <c r="E256" s="1" t="s">
        <v>50</v>
      </c>
      <c r="F256" s="1">
        <v>59641</v>
      </c>
      <c r="G256" s="1">
        <v>815</v>
      </c>
      <c r="H256" s="1">
        <v>16</v>
      </c>
      <c r="I256" s="1">
        <v>8439.76</v>
      </c>
      <c r="J256" s="1">
        <v>8163.95</v>
      </c>
      <c r="K256" s="1">
        <v>251</v>
      </c>
      <c r="L256" s="1">
        <v>33</v>
      </c>
      <c r="M256" s="1">
        <v>15</v>
      </c>
    </row>
    <row r="257" spans="1:13">
      <c r="A257" s="1" t="s">
        <v>37</v>
      </c>
      <c r="B257" s="1" t="s">
        <v>48</v>
      </c>
      <c r="C257" s="1" t="s">
        <v>55</v>
      </c>
      <c r="D257" s="1" t="s">
        <v>46</v>
      </c>
      <c r="E257" s="1" t="s">
        <v>50</v>
      </c>
      <c r="F257" s="1">
        <v>20878</v>
      </c>
      <c r="G257" s="1">
        <v>253</v>
      </c>
      <c r="H257" s="1">
        <v>5</v>
      </c>
      <c r="I257" s="1">
        <v>3373.89</v>
      </c>
      <c r="J257" s="1">
        <v>3968.85</v>
      </c>
      <c r="K257" s="1">
        <v>112</v>
      </c>
      <c r="L257" s="1">
        <v>6</v>
      </c>
      <c r="M257" s="1">
        <v>7</v>
      </c>
    </row>
    <row r="258" spans="1:13">
      <c r="A258" s="1" t="s">
        <v>52</v>
      </c>
      <c r="B258" s="1" t="s">
        <v>62</v>
      </c>
      <c r="C258" s="1" t="s">
        <v>39</v>
      </c>
      <c r="D258" s="1" t="s">
        <v>46</v>
      </c>
      <c r="E258" s="1" t="s">
        <v>53</v>
      </c>
      <c r="F258" s="1"/>
      <c r="G258" s="1">
        <v>1587</v>
      </c>
      <c r="H258" s="1">
        <v>58</v>
      </c>
      <c r="I258" s="1">
        <v>3350.29</v>
      </c>
      <c r="J258" s="1">
        <v>53324.95</v>
      </c>
      <c r="K258" s="1"/>
      <c r="L258" s="1"/>
      <c r="M258" s="1"/>
    </row>
    <row r="259" spans="1:13">
      <c r="A259" s="1" t="s">
        <v>52</v>
      </c>
      <c r="B259" s="1" t="s">
        <v>48</v>
      </c>
      <c r="C259" s="1" t="s">
        <v>45</v>
      </c>
      <c r="D259" s="1" t="s">
        <v>40</v>
      </c>
      <c r="E259" s="1" t="s">
        <v>56</v>
      </c>
      <c r="F259" s="1">
        <v>13293</v>
      </c>
      <c r="G259" s="1">
        <v>395</v>
      </c>
      <c r="H259" s="1">
        <v>13</v>
      </c>
      <c r="I259" s="1">
        <v>7291.38</v>
      </c>
      <c r="J259" s="1">
        <v>9462.32</v>
      </c>
      <c r="K259" s="1"/>
      <c r="L259" s="1"/>
      <c r="M259" s="1"/>
    </row>
    <row r="260" spans="1:13">
      <c r="A260" s="1" t="s">
        <v>42</v>
      </c>
      <c r="B260" s="1" t="s">
        <v>48</v>
      </c>
      <c r="C260" s="1" t="s">
        <v>45</v>
      </c>
      <c r="D260" s="1" t="s">
        <v>40</v>
      </c>
      <c r="E260" s="1" t="s">
        <v>41</v>
      </c>
      <c r="F260" s="1">
        <v>69691</v>
      </c>
      <c r="G260" s="1">
        <v>813</v>
      </c>
      <c r="H260" s="1">
        <v>9</v>
      </c>
      <c r="I260" s="1">
        <v>8782.92</v>
      </c>
      <c r="J260" s="1">
        <v>5820.71</v>
      </c>
      <c r="K260" s="1">
        <v>371</v>
      </c>
      <c r="L260" s="1">
        <v>21</v>
      </c>
      <c r="M260" s="1">
        <v>8</v>
      </c>
    </row>
    <row r="261" spans="1:13">
      <c r="A261" s="1" t="s">
        <v>37</v>
      </c>
      <c r="B261" s="1" t="s">
        <v>43</v>
      </c>
      <c r="C261" s="1" t="s">
        <v>49</v>
      </c>
      <c r="D261" s="1" t="s">
        <v>46</v>
      </c>
      <c r="E261" s="1" t="s">
        <v>50</v>
      </c>
      <c r="F261" s="1">
        <v>35997</v>
      </c>
      <c r="G261" s="1">
        <v>570</v>
      </c>
      <c r="H261" s="1">
        <v>13</v>
      </c>
      <c r="I261" s="1">
        <v>4488.67</v>
      </c>
      <c r="J261" s="1">
        <v>9390.3799999999992</v>
      </c>
      <c r="K261" s="1">
        <v>243</v>
      </c>
      <c r="L261" s="1">
        <v>12</v>
      </c>
      <c r="M261" s="1">
        <v>21</v>
      </c>
    </row>
    <row r="262" spans="1:13">
      <c r="A262" s="1" t="s">
        <v>42</v>
      </c>
      <c r="B262" s="1" t="s">
        <v>44</v>
      </c>
      <c r="C262" s="1" t="s">
        <v>39</v>
      </c>
      <c r="D262" s="1" t="s">
        <v>46</v>
      </c>
      <c r="E262" s="1" t="s">
        <v>50</v>
      </c>
      <c r="F262" s="1">
        <v>74240</v>
      </c>
      <c r="G262" s="1">
        <v>491</v>
      </c>
      <c r="H262" s="1">
        <v>10</v>
      </c>
      <c r="I262" s="1">
        <v>6436.1</v>
      </c>
      <c r="J262" s="1">
        <v>14821.53</v>
      </c>
      <c r="K262" s="1">
        <v>221</v>
      </c>
      <c r="L262" s="1">
        <v>28</v>
      </c>
      <c r="M262" s="1">
        <v>13</v>
      </c>
    </row>
    <row r="263" spans="1:13">
      <c r="A263" s="1" t="s">
        <v>51</v>
      </c>
      <c r="B263" s="1" t="s">
        <v>44</v>
      </c>
      <c r="C263" s="1" t="s">
        <v>39</v>
      </c>
      <c r="D263" s="1" t="s">
        <v>40</v>
      </c>
      <c r="E263" s="1" t="s">
        <v>50</v>
      </c>
      <c r="F263" s="1">
        <v>17262</v>
      </c>
      <c r="G263" s="1">
        <v>89</v>
      </c>
      <c r="H263" s="1">
        <v>0</v>
      </c>
      <c r="I263" s="1">
        <v>5111.9399999999996</v>
      </c>
      <c r="J263" s="1">
        <v>0</v>
      </c>
      <c r="K263" s="1"/>
      <c r="L263" s="1">
        <v>2</v>
      </c>
      <c r="M263" s="1">
        <v>1</v>
      </c>
    </row>
    <row r="264" spans="1:13">
      <c r="A264" s="1" t="s">
        <v>42</v>
      </c>
      <c r="B264" s="1" t="s">
        <v>48</v>
      </c>
      <c r="C264" s="1" t="s">
        <v>45</v>
      </c>
      <c r="D264" s="1" t="s">
        <v>46</v>
      </c>
      <c r="E264" s="1" t="s">
        <v>50</v>
      </c>
      <c r="F264" s="1">
        <v>24502</v>
      </c>
      <c r="G264" s="1">
        <v>172</v>
      </c>
      <c r="H264" s="1">
        <v>5</v>
      </c>
      <c r="I264" s="1">
        <v>8452.08</v>
      </c>
      <c r="J264" s="1">
        <v>4895.51</v>
      </c>
      <c r="K264" s="1">
        <v>82</v>
      </c>
      <c r="L264" s="1">
        <v>8</v>
      </c>
      <c r="M264" s="1">
        <v>2</v>
      </c>
    </row>
    <row r="265" spans="1:13">
      <c r="A265" s="1" t="s">
        <v>42</v>
      </c>
      <c r="B265" s="1" t="s">
        <v>43</v>
      </c>
      <c r="C265" s="1" t="s">
        <v>55</v>
      </c>
      <c r="D265" s="1" t="s">
        <v>46</v>
      </c>
      <c r="E265" s="1" t="s">
        <v>50</v>
      </c>
      <c r="F265" s="1">
        <v>18781</v>
      </c>
      <c r="G265" s="1">
        <v>161</v>
      </c>
      <c r="H265" s="1">
        <v>3</v>
      </c>
      <c r="I265" s="1">
        <v>4362.21</v>
      </c>
      <c r="J265" s="1">
        <v>4260.82</v>
      </c>
      <c r="K265" s="1">
        <v>48</v>
      </c>
      <c r="L265" s="1">
        <v>8</v>
      </c>
      <c r="M265" s="1">
        <v>5</v>
      </c>
    </row>
    <row r="266" spans="1:13">
      <c r="A266" s="1" t="s">
        <v>42</v>
      </c>
      <c r="B266" s="1" t="s">
        <v>44</v>
      </c>
      <c r="C266" s="1" t="s">
        <v>55</v>
      </c>
      <c r="D266" s="1" t="s">
        <v>40</v>
      </c>
      <c r="E266" s="1" t="s">
        <v>47</v>
      </c>
      <c r="F266" s="1">
        <v>26532</v>
      </c>
      <c r="G266" s="1">
        <v>77</v>
      </c>
      <c r="H266" s="1">
        <v>1</v>
      </c>
      <c r="I266" s="1">
        <v>2102.48</v>
      </c>
      <c r="J266" s="1">
        <v>1092.45</v>
      </c>
      <c r="K266" s="1">
        <v>35</v>
      </c>
      <c r="L266" s="1">
        <v>4</v>
      </c>
      <c r="M266" s="1">
        <v>2</v>
      </c>
    </row>
    <row r="267" spans="1:13">
      <c r="A267" s="1" t="s">
        <v>51</v>
      </c>
      <c r="B267" s="1" t="s">
        <v>44</v>
      </c>
      <c r="C267" s="1" t="s">
        <v>55</v>
      </c>
      <c r="D267" s="1" t="s">
        <v>46</v>
      </c>
      <c r="E267" s="1" t="s">
        <v>50</v>
      </c>
      <c r="F267" s="1">
        <v>78099</v>
      </c>
      <c r="G267" s="1">
        <v>834</v>
      </c>
      <c r="H267" s="1">
        <v>16</v>
      </c>
      <c r="I267" s="1"/>
      <c r="J267" s="1">
        <v>14584.74</v>
      </c>
      <c r="K267" s="1">
        <v>357</v>
      </c>
      <c r="L267" s="1">
        <v>29</v>
      </c>
      <c r="M267" s="1">
        <v>13</v>
      </c>
    </row>
    <row r="268" spans="1:13">
      <c r="A268" s="1" t="s">
        <v>42</v>
      </c>
      <c r="B268" s="1" t="s">
        <v>48</v>
      </c>
      <c r="C268" s="1" t="s">
        <v>49</v>
      </c>
      <c r="D268" s="1" t="s">
        <v>40</v>
      </c>
      <c r="E268" s="1" t="s">
        <v>47</v>
      </c>
      <c r="F268" s="1">
        <v>77887</v>
      </c>
      <c r="G268" s="1">
        <v>827</v>
      </c>
      <c r="H268" s="1"/>
      <c r="I268" s="1">
        <v>4926.2299999999996</v>
      </c>
      <c r="J268" s="1">
        <v>30335.79</v>
      </c>
      <c r="K268" s="1">
        <v>368</v>
      </c>
      <c r="L268" s="1">
        <v>37</v>
      </c>
      <c r="M268" s="1">
        <v>28</v>
      </c>
    </row>
    <row r="269" spans="1:13">
      <c r="A269" s="1" t="s">
        <v>52</v>
      </c>
      <c r="B269" s="1" t="s">
        <v>43</v>
      </c>
      <c r="C269" s="1" t="s">
        <v>39</v>
      </c>
      <c r="D269" s="1" t="s">
        <v>46</v>
      </c>
      <c r="E269" s="1" t="s">
        <v>56</v>
      </c>
      <c r="F269" s="1">
        <v>53214</v>
      </c>
      <c r="G269" s="1">
        <v>1217</v>
      </c>
      <c r="H269" s="1">
        <v>54</v>
      </c>
      <c r="I269" s="1">
        <v>6354.9</v>
      </c>
      <c r="J269" s="1">
        <v>73348.86</v>
      </c>
      <c r="K269" s="1"/>
      <c r="L269" s="1"/>
      <c r="M269" s="1"/>
    </row>
    <row r="270" spans="1:13">
      <c r="A270" s="1" t="s">
        <v>51</v>
      </c>
      <c r="B270" s="1" t="s">
        <v>38</v>
      </c>
      <c r="C270" s="1" t="s">
        <v>54</v>
      </c>
      <c r="D270" s="1" t="s">
        <v>46</v>
      </c>
      <c r="E270" s="1" t="s">
        <v>50</v>
      </c>
      <c r="F270" s="1">
        <v>63592</v>
      </c>
      <c r="G270" s="1">
        <v>406</v>
      </c>
      <c r="H270" s="1">
        <v>5</v>
      </c>
      <c r="I270" s="1">
        <v>3171.18</v>
      </c>
      <c r="J270" s="1">
        <v>6599.48</v>
      </c>
      <c r="K270" s="1">
        <v>137</v>
      </c>
      <c r="L270" s="1">
        <v>10</v>
      </c>
      <c r="M270" s="1">
        <v>8</v>
      </c>
    </row>
    <row r="271" spans="1:13">
      <c r="A271" s="1" t="s">
        <v>42</v>
      </c>
      <c r="B271" s="1" t="s">
        <v>38</v>
      </c>
      <c r="C271" s="1" t="s">
        <v>55</v>
      </c>
      <c r="D271" s="1" t="s">
        <v>46</v>
      </c>
      <c r="E271" s="1" t="s">
        <v>47</v>
      </c>
      <c r="F271" s="1">
        <v>23078</v>
      </c>
      <c r="G271" s="1">
        <v>134</v>
      </c>
      <c r="H271" s="1">
        <v>3</v>
      </c>
      <c r="I271" s="1">
        <v>5430.09</v>
      </c>
      <c r="J271" s="1">
        <v>3269.7</v>
      </c>
      <c r="K271" s="1">
        <v>50</v>
      </c>
      <c r="L271" s="1">
        <v>6</v>
      </c>
      <c r="M271" s="1">
        <v>5</v>
      </c>
    </row>
    <row r="272" spans="1:13">
      <c r="A272" s="1" t="s">
        <v>51</v>
      </c>
      <c r="B272" s="1" t="s">
        <v>38</v>
      </c>
      <c r="C272" s="1" t="s">
        <v>54</v>
      </c>
      <c r="D272" s="1" t="s">
        <v>40</v>
      </c>
      <c r="E272" s="1" t="s">
        <v>50</v>
      </c>
      <c r="F272" s="1">
        <v>45101</v>
      </c>
      <c r="G272" s="1">
        <v>500</v>
      </c>
      <c r="H272" s="1">
        <v>6</v>
      </c>
      <c r="I272" s="1">
        <v>3147.47</v>
      </c>
      <c r="J272" s="1">
        <v>8354.3799999999992</v>
      </c>
      <c r="K272" s="1">
        <v>223</v>
      </c>
      <c r="L272" s="1">
        <v>10</v>
      </c>
      <c r="M272" s="1">
        <v>14</v>
      </c>
    </row>
    <row r="273" spans="1:13">
      <c r="A273" s="1" t="s">
        <v>42</v>
      </c>
      <c r="B273" s="1" t="s">
        <v>43</v>
      </c>
      <c r="C273" s="1" t="s">
        <v>39</v>
      </c>
      <c r="D273" s="1" t="s">
        <v>46</v>
      </c>
      <c r="E273" s="1" t="s">
        <v>41</v>
      </c>
      <c r="F273" s="1">
        <v>27244</v>
      </c>
      <c r="G273" s="1">
        <v>329</v>
      </c>
      <c r="H273" s="1"/>
      <c r="I273" s="1">
        <v>6295.81</v>
      </c>
      <c r="J273" s="1"/>
      <c r="K273" s="1">
        <v>162</v>
      </c>
      <c r="L273" s="1">
        <v>11</v>
      </c>
      <c r="M273" s="1">
        <v>8</v>
      </c>
    </row>
    <row r="274" spans="1:13">
      <c r="A274" s="1" t="s">
        <v>52</v>
      </c>
      <c r="B274" s="1" t="s">
        <v>38</v>
      </c>
      <c r="C274" s="1" t="s">
        <v>49</v>
      </c>
      <c r="D274" s="1" t="s">
        <v>46</v>
      </c>
      <c r="E274" s="1" t="s">
        <v>53</v>
      </c>
      <c r="F274" s="1">
        <v>74635</v>
      </c>
      <c r="G274" s="1">
        <v>2138</v>
      </c>
      <c r="H274" s="1">
        <v>90</v>
      </c>
      <c r="I274" s="1">
        <v>2471.5100000000002</v>
      </c>
      <c r="J274" s="1">
        <v>87129.95</v>
      </c>
      <c r="K274" s="1"/>
      <c r="L274" s="1"/>
      <c r="M274" s="1"/>
    </row>
    <row r="275" spans="1:13">
      <c r="A275" s="1" t="s">
        <v>51</v>
      </c>
      <c r="B275" s="1" t="s">
        <v>43</v>
      </c>
      <c r="C275" s="1" t="s">
        <v>45</v>
      </c>
      <c r="D275" s="1" t="s">
        <v>46</v>
      </c>
      <c r="E275" s="1" t="s">
        <v>50</v>
      </c>
      <c r="F275" s="1">
        <v>57883</v>
      </c>
      <c r="G275" s="1">
        <v>510</v>
      </c>
      <c r="H275" s="1">
        <v>9</v>
      </c>
      <c r="I275" s="1">
        <v>8087.45</v>
      </c>
      <c r="J275" s="1">
        <v>13469.51</v>
      </c>
      <c r="K275" s="1">
        <v>249</v>
      </c>
      <c r="L275" s="1">
        <v>27</v>
      </c>
      <c r="M275" s="1">
        <v>10</v>
      </c>
    </row>
    <row r="276" spans="1:13">
      <c r="A276" s="1" t="s">
        <v>51</v>
      </c>
      <c r="B276" s="1" t="s">
        <v>38</v>
      </c>
      <c r="C276" s="1" t="s">
        <v>54</v>
      </c>
      <c r="D276" s="1" t="s">
        <v>46</v>
      </c>
      <c r="E276" s="1" t="s">
        <v>50</v>
      </c>
      <c r="F276" s="1">
        <v>78157</v>
      </c>
      <c r="G276" s="1">
        <v>647</v>
      </c>
      <c r="H276" s="1">
        <v>12</v>
      </c>
      <c r="I276" s="1">
        <v>7551.14</v>
      </c>
      <c r="J276" s="1">
        <v>7568.84</v>
      </c>
      <c r="K276" s="1">
        <v>261</v>
      </c>
      <c r="L276" s="1">
        <v>27</v>
      </c>
      <c r="M276" s="1">
        <v>12</v>
      </c>
    </row>
    <row r="277" spans="1:13">
      <c r="A277" s="1" t="s">
        <v>51</v>
      </c>
      <c r="B277" s="1" t="s">
        <v>48</v>
      </c>
      <c r="C277" s="1" t="s">
        <v>54</v>
      </c>
      <c r="D277" s="1" t="s">
        <v>40</v>
      </c>
      <c r="E277" s="1" t="s">
        <v>50</v>
      </c>
      <c r="F277" s="1">
        <v>41496</v>
      </c>
      <c r="G277" s="1">
        <v>361</v>
      </c>
      <c r="H277" s="1">
        <v>4</v>
      </c>
      <c r="I277" s="1">
        <v>8697.92</v>
      </c>
      <c r="J277" s="1">
        <v>4457.9399999999996</v>
      </c>
      <c r="K277" s="1">
        <v>114</v>
      </c>
      <c r="L277" s="1">
        <v>7</v>
      </c>
      <c r="M277" s="1">
        <v>14</v>
      </c>
    </row>
    <row r="278" spans="1:13">
      <c r="A278" s="1" t="s">
        <v>52</v>
      </c>
      <c r="B278" s="1" t="s">
        <v>48</v>
      </c>
      <c r="C278" s="1" t="s">
        <v>39</v>
      </c>
      <c r="D278" s="1" t="s">
        <v>40</v>
      </c>
      <c r="E278" s="1" t="s">
        <v>56</v>
      </c>
      <c r="F278" s="1">
        <v>77119</v>
      </c>
      <c r="G278" s="1">
        <v>2142</v>
      </c>
      <c r="H278" s="1">
        <v>124</v>
      </c>
      <c r="I278" s="1">
        <v>5807.3</v>
      </c>
      <c r="J278" s="1">
        <v>131322.57</v>
      </c>
      <c r="K278" s="1"/>
      <c r="L278" s="1"/>
      <c r="M278" s="1"/>
    </row>
    <row r="279" spans="1:13">
      <c r="A279" s="1" t="s">
        <v>52</v>
      </c>
      <c r="B279" s="1" t="s">
        <v>38</v>
      </c>
      <c r="C279" s="1" t="s">
        <v>54</v>
      </c>
      <c r="D279" s="1" t="s">
        <v>40</v>
      </c>
      <c r="E279" s="1" t="s">
        <v>53</v>
      </c>
      <c r="F279" s="1">
        <v>72330</v>
      </c>
      <c r="G279" s="1">
        <v>2114</v>
      </c>
      <c r="H279" s="1">
        <v>106</v>
      </c>
      <c r="I279" s="1">
        <v>2374.2800000000002</v>
      </c>
      <c r="J279" s="1">
        <v>82041.05</v>
      </c>
      <c r="K279" s="1"/>
      <c r="L279" s="1"/>
      <c r="M279" s="1"/>
    </row>
    <row r="280" spans="1:13">
      <c r="A280" s="1" t="s">
        <v>42</v>
      </c>
      <c r="B280" s="1" t="s">
        <v>38</v>
      </c>
      <c r="C280" s="1" t="s">
        <v>54</v>
      </c>
      <c r="D280" s="1" t="s">
        <v>40</v>
      </c>
      <c r="E280" s="1" t="s">
        <v>50</v>
      </c>
      <c r="F280" s="1">
        <v>78107</v>
      </c>
      <c r="G280" s="1">
        <v>587</v>
      </c>
      <c r="H280" s="1">
        <v>8</v>
      </c>
      <c r="I280" s="1">
        <v>2142.12</v>
      </c>
      <c r="J280" s="1">
        <v>11911.26</v>
      </c>
      <c r="K280" s="1">
        <v>281</v>
      </c>
      <c r="L280" s="1">
        <v>25</v>
      </c>
      <c r="M280" s="1">
        <v>18</v>
      </c>
    </row>
    <row r="281" spans="1:13">
      <c r="A281" s="1" t="s">
        <v>51</v>
      </c>
      <c r="B281" s="1" t="s">
        <v>48</v>
      </c>
      <c r="C281" s="1" t="s">
        <v>39</v>
      </c>
      <c r="D281" s="1" t="s">
        <v>40</v>
      </c>
      <c r="E281" s="1" t="s">
        <v>50</v>
      </c>
      <c r="F281" s="1">
        <v>69385</v>
      </c>
      <c r="G281" s="1">
        <v>827</v>
      </c>
      <c r="H281" s="1">
        <v>11</v>
      </c>
      <c r="I281" s="1">
        <v>4543.72</v>
      </c>
      <c r="J281" s="1"/>
      <c r="K281" s="1">
        <v>359</v>
      </c>
      <c r="L281" s="1">
        <v>25</v>
      </c>
      <c r="M281" s="1">
        <v>23</v>
      </c>
    </row>
    <row r="282" spans="1:13">
      <c r="A282" s="1" t="s">
        <v>42</v>
      </c>
      <c r="B282" s="1" t="s">
        <v>43</v>
      </c>
      <c r="C282" s="1" t="s">
        <v>55</v>
      </c>
      <c r="D282" s="1" t="s">
        <v>46</v>
      </c>
      <c r="E282" s="1" t="s">
        <v>50</v>
      </c>
      <c r="F282" s="1">
        <v>41752</v>
      </c>
      <c r="G282" s="1">
        <v>276</v>
      </c>
      <c r="H282" s="1">
        <v>5</v>
      </c>
      <c r="I282" s="1">
        <v>7541.8</v>
      </c>
      <c r="J282" s="1">
        <v>4626.74</v>
      </c>
      <c r="K282" s="1">
        <v>122</v>
      </c>
      <c r="L282" s="1">
        <v>13</v>
      </c>
      <c r="M282" s="1">
        <v>7</v>
      </c>
    </row>
    <row r="283" spans="1:13">
      <c r="A283" s="1" t="s">
        <v>42</v>
      </c>
      <c r="B283" s="1" t="s">
        <v>48</v>
      </c>
      <c r="C283" s="1" t="s">
        <v>55</v>
      </c>
      <c r="D283" s="1" t="s">
        <v>40</v>
      </c>
      <c r="E283" s="1" t="s">
        <v>41</v>
      </c>
      <c r="F283" s="1">
        <v>54994</v>
      </c>
      <c r="G283" s="1">
        <v>554</v>
      </c>
      <c r="H283" s="1">
        <v>5</v>
      </c>
      <c r="I283" s="1">
        <v>7645.86</v>
      </c>
      <c r="J283" s="1">
        <v>5434.65</v>
      </c>
      <c r="K283" s="1">
        <v>269</v>
      </c>
      <c r="L283" s="1">
        <v>27</v>
      </c>
      <c r="M283" s="1">
        <v>17</v>
      </c>
    </row>
    <row r="284" spans="1:13">
      <c r="A284" s="1" t="s">
        <v>51</v>
      </c>
      <c r="B284" s="1" t="s">
        <v>38</v>
      </c>
      <c r="C284" s="1" t="s">
        <v>39</v>
      </c>
      <c r="D284" s="1" t="s">
        <v>46</v>
      </c>
      <c r="E284" s="1" t="s">
        <v>50</v>
      </c>
      <c r="F284" s="1">
        <v>62678</v>
      </c>
      <c r="G284" s="1">
        <v>614</v>
      </c>
      <c r="H284" s="1">
        <v>5</v>
      </c>
      <c r="I284" s="1">
        <v>3425.21</v>
      </c>
      <c r="J284" s="1">
        <v>3223.64</v>
      </c>
      <c r="K284" s="1">
        <v>261</v>
      </c>
      <c r="L284" s="1">
        <v>27</v>
      </c>
      <c r="M284" s="1">
        <v>15</v>
      </c>
    </row>
    <row r="285" spans="1:13">
      <c r="A285" s="1" t="s">
        <v>37</v>
      </c>
      <c r="B285" s="1" t="s">
        <v>43</v>
      </c>
      <c r="C285" s="1" t="s">
        <v>45</v>
      </c>
      <c r="D285" s="1" t="s">
        <v>46</v>
      </c>
      <c r="E285" s="1" t="s">
        <v>50</v>
      </c>
      <c r="F285" s="1">
        <v>56053</v>
      </c>
      <c r="G285" s="1">
        <v>983</v>
      </c>
      <c r="H285" s="1">
        <v>28</v>
      </c>
      <c r="I285" s="1">
        <v>6360.43</v>
      </c>
      <c r="J285" s="1">
        <v>15925.82</v>
      </c>
      <c r="K285" s="1">
        <v>331</v>
      </c>
      <c r="L285" s="1">
        <v>52</v>
      </c>
      <c r="M285" s="1">
        <v>30</v>
      </c>
    </row>
    <row r="286" spans="1:13">
      <c r="A286" s="1" t="s">
        <v>52</v>
      </c>
      <c r="B286" s="1" t="s">
        <v>38</v>
      </c>
      <c r="C286" s="1" t="s">
        <v>49</v>
      </c>
      <c r="D286" s="1" t="s">
        <v>46</v>
      </c>
      <c r="E286" s="1" t="s">
        <v>53</v>
      </c>
      <c r="F286" s="1"/>
      <c r="G286" s="1">
        <v>921</v>
      </c>
      <c r="H286" s="1">
        <v>28</v>
      </c>
      <c r="I286" s="1">
        <v>7136.37</v>
      </c>
      <c r="J286" s="1">
        <v>33478.39</v>
      </c>
      <c r="K286" s="1"/>
      <c r="L286" s="1"/>
      <c r="M286" s="1"/>
    </row>
    <row r="287" spans="1:13">
      <c r="A287" s="1" t="s">
        <v>42</v>
      </c>
      <c r="B287" s="1" t="s">
        <v>44</v>
      </c>
      <c r="C287" s="1" t="s">
        <v>45</v>
      </c>
      <c r="D287" s="1" t="s">
        <v>40</v>
      </c>
      <c r="E287" s="1" t="s">
        <v>41</v>
      </c>
      <c r="F287" s="1">
        <v>59710</v>
      </c>
      <c r="G287" s="1">
        <v>526</v>
      </c>
      <c r="H287" s="1">
        <v>14</v>
      </c>
      <c r="I287" s="1"/>
      <c r="J287" s="1">
        <v>8431.43</v>
      </c>
      <c r="K287" s="1">
        <v>187</v>
      </c>
      <c r="L287" s="1">
        <v>19</v>
      </c>
      <c r="M287" s="1">
        <v>8</v>
      </c>
    </row>
    <row r="288" spans="1:13">
      <c r="A288" s="1" t="s">
        <v>37</v>
      </c>
      <c r="B288" s="1" t="s">
        <v>48</v>
      </c>
      <c r="C288" s="1" t="s">
        <v>55</v>
      </c>
      <c r="D288" s="1" t="s">
        <v>40</v>
      </c>
      <c r="E288" s="1" t="s">
        <v>50</v>
      </c>
      <c r="F288" s="1">
        <v>48257</v>
      </c>
      <c r="G288" s="1">
        <v>756</v>
      </c>
      <c r="H288" s="1">
        <v>24</v>
      </c>
      <c r="I288" s="1">
        <v>4888.62</v>
      </c>
      <c r="J288" s="1">
        <v>25324.16</v>
      </c>
      <c r="K288" s="1">
        <v>293</v>
      </c>
      <c r="L288" s="1">
        <v>42</v>
      </c>
      <c r="M288" s="1">
        <v>18</v>
      </c>
    </row>
    <row r="289" spans="1:13">
      <c r="A289" s="1" t="s">
        <v>51</v>
      </c>
      <c r="B289" s="1" t="s">
        <v>48</v>
      </c>
      <c r="C289" s="1" t="s">
        <v>45</v>
      </c>
      <c r="D289" s="1" t="s">
        <v>40</v>
      </c>
      <c r="E289" s="1" t="s">
        <v>50</v>
      </c>
      <c r="F289" s="1">
        <v>56996</v>
      </c>
      <c r="G289" s="1">
        <v>420</v>
      </c>
      <c r="H289" s="1">
        <v>5</v>
      </c>
      <c r="I289" s="1"/>
      <c r="J289" s="1">
        <v>2544.25</v>
      </c>
      <c r="K289" s="1">
        <v>202</v>
      </c>
      <c r="L289" s="1">
        <v>12</v>
      </c>
      <c r="M289" s="1">
        <v>16</v>
      </c>
    </row>
    <row r="290" spans="1:13">
      <c r="A290" s="1" t="s">
        <v>42</v>
      </c>
      <c r="B290" s="1" t="s">
        <v>44</v>
      </c>
      <c r="C290" s="1" t="s">
        <v>55</v>
      </c>
      <c r="D290" s="1" t="s">
        <v>46</v>
      </c>
      <c r="E290" s="1" t="s">
        <v>50</v>
      </c>
      <c r="F290" s="1">
        <v>61807</v>
      </c>
      <c r="G290" s="1">
        <v>666</v>
      </c>
      <c r="H290" s="1">
        <v>19</v>
      </c>
      <c r="I290" s="1">
        <v>3839.42</v>
      </c>
      <c r="J290" s="1">
        <v>19541.22</v>
      </c>
      <c r="K290" s="1">
        <v>224</v>
      </c>
      <c r="L290" s="1">
        <v>35</v>
      </c>
      <c r="M290" s="1">
        <v>25</v>
      </c>
    </row>
    <row r="291" spans="1:13">
      <c r="A291" s="1" t="s">
        <v>37</v>
      </c>
      <c r="B291" s="1" t="s">
        <v>48</v>
      </c>
      <c r="C291" s="1" t="s">
        <v>45</v>
      </c>
      <c r="D291" s="1" t="s">
        <v>40</v>
      </c>
      <c r="E291" s="1" t="s">
        <v>47</v>
      </c>
      <c r="F291" s="1">
        <v>78336</v>
      </c>
      <c r="G291" s="1">
        <v>991</v>
      </c>
      <c r="H291" s="1">
        <v>15</v>
      </c>
      <c r="I291" s="1">
        <v>3113.19</v>
      </c>
      <c r="J291" s="1">
        <v>8241.35</v>
      </c>
      <c r="K291" s="1">
        <v>306</v>
      </c>
      <c r="L291" s="1">
        <v>23</v>
      </c>
      <c r="M291" s="1">
        <v>14</v>
      </c>
    </row>
    <row r="292" spans="1:13">
      <c r="A292" s="1" t="s">
        <v>37</v>
      </c>
      <c r="B292" s="1" t="s">
        <v>48</v>
      </c>
      <c r="C292" s="1" t="s">
        <v>39</v>
      </c>
      <c r="D292" s="1" t="s">
        <v>40</v>
      </c>
      <c r="E292" s="1" t="s">
        <v>41</v>
      </c>
      <c r="F292" s="1">
        <v>46121</v>
      </c>
      <c r="G292" s="1">
        <v>755</v>
      </c>
      <c r="H292" s="1">
        <v>12</v>
      </c>
      <c r="I292" s="1">
        <v>2599.16</v>
      </c>
      <c r="J292" s="1">
        <v>13023.01</v>
      </c>
      <c r="K292" s="1">
        <v>283</v>
      </c>
      <c r="L292" s="1">
        <v>38</v>
      </c>
      <c r="M292" s="1">
        <v>11</v>
      </c>
    </row>
    <row r="293" spans="1:13">
      <c r="A293" s="1" t="s">
        <v>51</v>
      </c>
      <c r="B293" s="1" t="s">
        <v>48</v>
      </c>
      <c r="C293" s="1" t="s">
        <v>55</v>
      </c>
      <c r="D293" s="1" t="s">
        <v>46</v>
      </c>
      <c r="E293" s="1" t="s">
        <v>50</v>
      </c>
      <c r="F293" s="1">
        <v>75500</v>
      </c>
      <c r="G293" s="1">
        <v>920</v>
      </c>
      <c r="H293" s="1">
        <v>11</v>
      </c>
      <c r="I293" s="1">
        <v>5410.92</v>
      </c>
      <c r="J293" s="1">
        <v>13210.26</v>
      </c>
      <c r="K293" s="1">
        <v>449</v>
      </c>
      <c r="L293" s="1">
        <v>24</v>
      </c>
      <c r="M293" s="1">
        <v>12</v>
      </c>
    </row>
    <row r="294" spans="1:13">
      <c r="A294" s="1" t="s">
        <v>52</v>
      </c>
      <c r="B294" s="1" t="s">
        <v>48</v>
      </c>
      <c r="C294" s="1" t="s">
        <v>49</v>
      </c>
      <c r="D294" s="1" t="s">
        <v>46</v>
      </c>
      <c r="E294" s="1" t="s">
        <v>56</v>
      </c>
      <c r="F294" s="1">
        <v>28651</v>
      </c>
      <c r="G294" s="1"/>
      <c r="H294" s="1">
        <v>26</v>
      </c>
      <c r="I294" s="1">
        <v>8638.5499999999993</v>
      </c>
      <c r="J294" s="1">
        <v>34593.17</v>
      </c>
      <c r="K294" s="1"/>
      <c r="L294" s="1"/>
      <c r="M294" s="1"/>
    </row>
    <row r="295" spans="1:13">
      <c r="A295" s="1" t="s">
        <v>51</v>
      </c>
      <c r="B295" s="1" t="s">
        <v>38</v>
      </c>
      <c r="C295" s="1" t="s">
        <v>39</v>
      </c>
      <c r="D295" s="1" t="s">
        <v>46</v>
      </c>
      <c r="E295" s="1" t="s">
        <v>50</v>
      </c>
      <c r="F295" s="1">
        <v>21230</v>
      </c>
      <c r="G295" s="1">
        <v>83</v>
      </c>
      <c r="H295" s="1">
        <v>2</v>
      </c>
      <c r="I295" s="1">
        <v>2199.36</v>
      </c>
      <c r="J295" s="1">
        <v>1703.98</v>
      </c>
      <c r="K295" s="1">
        <v>37</v>
      </c>
      <c r="L295" s="1">
        <v>3</v>
      </c>
      <c r="M295" s="1">
        <v>2</v>
      </c>
    </row>
    <row r="296" spans="1:13">
      <c r="A296" s="1" t="s">
        <v>37</v>
      </c>
      <c r="B296" s="1" t="s">
        <v>48</v>
      </c>
      <c r="C296" s="1" t="s">
        <v>39</v>
      </c>
      <c r="D296" s="1" t="s">
        <v>46</v>
      </c>
      <c r="E296" s="1" t="s">
        <v>50</v>
      </c>
      <c r="F296" s="1">
        <v>71719</v>
      </c>
      <c r="G296" s="1">
        <v>1659</v>
      </c>
      <c r="H296" s="1">
        <v>47</v>
      </c>
      <c r="I296" s="1">
        <v>2065.85</v>
      </c>
      <c r="J296" s="1">
        <v>38809.42</v>
      </c>
      <c r="K296" s="1">
        <v>780</v>
      </c>
      <c r="L296" s="1">
        <v>78</v>
      </c>
      <c r="M296" s="1">
        <v>25</v>
      </c>
    </row>
    <row r="297" spans="1:13">
      <c r="A297" s="1" t="s">
        <v>37</v>
      </c>
      <c r="B297" s="1" t="s">
        <v>48</v>
      </c>
      <c r="C297" s="1" t="s">
        <v>49</v>
      </c>
      <c r="D297" s="1" t="s">
        <v>46</v>
      </c>
      <c r="E297" s="1" t="s">
        <v>50</v>
      </c>
      <c r="F297" s="1">
        <v>44687</v>
      </c>
      <c r="G297" s="1">
        <v>666</v>
      </c>
      <c r="H297" s="1">
        <v>11</v>
      </c>
      <c r="I297" s="1">
        <v>4347.6000000000004</v>
      </c>
      <c r="J297" s="1">
        <v>14984.32</v>
      </c>
      <c r="K297" s="1">
        <v>331</v>
      </c>
      <c r="L297" s="1">
        <v>28</v>
      </c>
      <c r="M297" s="1">
        <v>7</v>
      </c>
    </row>
    <row r="298" spans="1:13">
      <c r="A298" s="1" t="s">
        <v>51</v>
      </c>
      <c r="B298" s="1" t="s">
        <v>38</v>
      </c>
      <c r="C298" s="1" t="s">
        <v>49</v>
      </c>
      <c r="D298" s="1" t="s">
        <v>40</v>
      </c>
      <c r="E298" s="1" t="s">
        <v>50</v>
      </c>
      <c r="F298" s="1">
        <v>28973</v>
      </c>
      <c r="G298" s="1">
        <v>184</v>
      </c>
      <c r="H298" s="1">
        <v>3</v>
      </c>
      <c r="I298" s="1">
        <v>7686.34</v>
      </c>
      <c r="J298" s="1">
        <v>1854.62</v>
      </c>
      <c r="K298" s="1">
        <v>83</v>
      </c>
      <c r="L298" s="1">
        <v>4</v>
      </c>
      <c r="M298" s="1">
        <v>3</v>
      </c>
    </row>
    <row r="299" spans="1:13">
      <c r="A299" s="1" t="s">
        <v>42</v>
      </c>
      <c r="B299" s="1" t="s">
        <v>38</v>
      </c>
      <c r="C299" s="1" t="s">
        <v>45</v>
      </c>
      <c r="D299" s="1" t="s">
        <v>40</v>
      </c>
      <c r="E299" s="1" t="s">
        <v>41</v>
      </c>
      <c r="F299" s="1">
        <v>56766</v>
      </c>
      <c r="G299" s="1">
        <v>593</v>
      </c>
      <c r="H299" s="1">
        <v>21</v>
      </c>
      <c r="I299" s="1">
        <v>7899.2</v>
      </c>
      <c r="J299" s="1">
        <v>29739.15</v>
      </c>
      <c r="K299" s="1">
        <v>236</v>
      </c>
      <c r="L299" s="1">
        <v>22</v>
      </c>
      <c r="M299" s="1">
        <v>22</v>
      </c>
    </row>
    <row r="300" spans="1:13">
      <c r="A300" s="1" t="s">
        <v>52</v>
      </c>
      <c r="B300" s="1" t="s">
        <v>48</v>
      </c>
      <c r="C300" s="1" t="s">
        <v>49</v>
      </c>
      <c r="D300" s="1" t="s">
        <v>40</v>
      </c>
      <c r="E300" s="1" t="s">
        <v>56</v>
      </c>
      <c r="F300" s="1"/>
      <c r="G300" s="1">
        <v>3058</v>
      </c>
      <c r="H300" s="1"/>
      <c r="I300" s="1">
        <v>2265.73</v>
      </c>
      <c r="J300" s="1">
        <v>128074.98</v>
      </c>
      <c r="K300" s="1"/>
      <c r="L300" s="1"/>
      <c r="M300" s="1"/>
    </row>
    <row r="301" spans="1:13">
      <c r="A301" s="1" t="s">
        <v>37</v>
      </c>
      <c r="B301" s="1" t="s">
        <v>44</v>
      </c>
      <c r="C301" s="1" t="s">
        <v>54</v>
      </c>
      <c r="D301" s="1" t="s">
        <v>46</v>
      </c>
      <c r="E301" s="1" t="s">
        <v>41</v>
      </c>
      <c r="F301" s="1">
        <v>48460</v>
      </c>
      <c r="G301" s="1">
        <v>971</v>
      </c>
      <c r="H301" s="1">
        <v>16</v>
      </c>
      <c r="I301" s="1">
        <v>3296.56</v>
      </c>
      <c r="J301" s="1">
        <v>20370.43</v>
      </c>
      <c r="K301" s="1">
        <v>359</v>
      </c>
      <c r="L301" s="1">
        <v>26</v>
      </c>
      <c r="M301" s="1">
        <v>13</v>
      </c>
    </row>
    <row r="302" spans="1:13">
      <c r="A302" s="1" t="s">
        <v>37</v>
      </c>
      <c r="B302" s="1" t="s">
        <v>48</v>
      </c>
      <c r="C302" s="1" t="s">
        <v>39</v>
      </c>
      <c r="D302" s="1" t="s">
        <v>40</v>
      </c>
      <c r="E302" s="1" t="s">
        <v>47</v>
      </c>
      <c r="F302" s="1">
        <v>46369</v>
      </c>
      <c r="G302" s="1">
        <v>831</v>
      </c>
      <c r="H302" s="1">
        <v>25</v>
      </c>
      <c r="I302" s="1">
        <v>6648.67</v>
      </c>
      <c r="J302" s="1">
        <v>12931.69</v>
      </c>
      <c r="K302" s="1">
        <v>331</v>
      </c>
      <c r="L302" s="1">
        <v>39</v>
      </c>
      <c r="M302" s="1">
        <v>9</v>
      </c>
    </row>
    <row r="303" spans="1:13">
      <c r="A303" s="1" t="s">
        <v>51</v>
      </c>
      <c r="B303" s="1" t="s">
        <v>38</v>
      </c>
      <c r="C303" s="1" t="s">
        <v>49</v>
      </c>
      <c r="D303" s="1" t="s">
        <v>40</v>
      </c>
      <c r="E303" s="1" t="s">
        <v>50</v>
      </c>
      <c r="F303" s="1">
        <v>15231</v>
      </c>
      <c r="G303" s="1">
        <v>239</v>
      </c>
      <c r="H303" s="1">
        <v>4</v>
      </c>
      <c r="I303" s="1">
        <v>4103.6899999999996</v>
      </c>
      <c r="J303" s="1"/>
      <c r="K303" s="1">
        <v>74</v>
      </c>
      <c r="L303" s="1">
        <v>7</v>
      </c>
      <c r="M303" s="1">
        <v>4</v>
      </c>
    </row>
    <row r="304" spans="1:13">
      <c r="A304" s="1" t="s">
        <v>51</v>
      </c>
      <c r="B304" s="1" t="s">
        <v>38</v>
      </c>
      <c r="C304" s="1" t="s">
        <v>49</v>
      </c>
      <c r="D304" s="1" t="s">
        <v>40</v>
      </c>
      <c r="E304" s="1"/>
      <c r="F304" s="1">
        <v>20835</v>
      </c>
      <c r="G304" s="1">
        <v>191</v>
      </c>
      <c r="H304" s="1">
        <v>3</v>
      </c>
      <c r="I304" s="1">
        <v>2330.11</v>
      </c>
      <c r="J304" s="1">
        <v>4416.41</v>
      </c>
      <c r="K304" s="1">
        <v>95</v>
      </c>
      <c r="L304" s="1">
        <v>8</v>
      </c>
      <c r="M304" s="1">
        <v>7</v>
      </c>
    </row>
    <row r="305" spans="1:13">
      <c r="A305" s="1" t="s">
        <v>42</v>
      </c>
      <c r="B305" s="1" t="s">
        <v>44</v>
      </c>
      <c r="C305" s="1" t="s">
        <v>45</v>
      </c>
      <c r="D305" s="1" t="s">
        <v>40</v>
      </c>
      <c r="E305" s="1" t="s">
        <v>41</v>
      </c>
      <c r="F305" s="1">
        <v>34382</v>
      </c>
      <c r="G305" s="1">
        <v>164</v>
      </c>
      <c r="H305" s="1">
        <v>2</v>
      </c>
      <c r="I305" s="1">
        <v>8817.7999999999993</v>
      </c>
      <c r="J305" s="1">
        <v>1027.8699999999999</v>
      </c>
      <c r="K305" s="1">
        <v>57</v>
      </c>
      <c r="L305" s="1">
        <v>7</v>
      </c>
      <c r="M305" s="1">
        <v>2</v>
      </c>
    </row>
    <row r="306" spans="1:13">
      <c r="A306" t="s">
        <v>52</v>
      </c>
      <c r="B306" t="s">
        <v>44</v>
      </c>
      <c r="C306" t="s">
        <v>45</v>
      </c>
      <c r="D306" t="s">
        <v>40</v>
      </c>
      <c r="E306" t="s">
        <v>56</v>
      </c>
      <c r="F306">
        <v>72491</v>
      </c>
      <c r="G306">
        <v>644</v>
      </c>
      <c r="H306">
        <v>17</v>
      </c>
      <c r="I306">
        <v>6611.81</v>
      </c>
      <c r="J306">
        <v>11397.64</v>
      </c>
    </row>
    <row r="307" spans="1:13">
      <c r="A307" t="s">
        <v>37</v>
      </c>
      <c r="B307" t="s">
        <v>44</v>
      </c>
      <c r="C307" t="s">
        <v>54</v>
      </c>
      <c r="D307" t="s">
        <v>46</v>
      </c>
      <c r="E307" t="s">
        <v>50</v>
      </c>
      <c r="F307">
        <v>74420</v>
      </c>
      <c r="G307">
        <v>905</v>
      </c>
      <c r="H307">
        <v>28</v>
      </c>
      <c r="I307">
        <v>6351.99</v>
      </c>
      <c r="J307">
        <v>35711.21</v>
      </c>
      <c r="K307">
        <v>438</v>
      </c>
      <c r="L307">
        <v>52</v>
      </c>
      <c r="M307">
        <v>15</v>
      </c>
    </row>
    <row r="308" spans="1:13">
      <c r="A308" t="s">
        <v>42</v>
      </c>
      <c r="B308" t="s">
        <v>44</v>
      </c>
      <c r="C308" t="s">
        <v>45</v>
      </c>
      <c r="D308" t="s">
        <v>46</v>
      </c>
      <c r="E308" t="s">
        <v>50</v>
      </c>
      <c r="F308">
        <v>62630</v>
      </c>
      <c r="G308">
        <v>781</v>
      </c>
      <c r="I308">
        <v>6731.61</v>
      </c>
      <c r="J308">
        <v>17536.3</v>
      </c>
      <c r="K308">
        <v>254</v>
      </c>
      <c r="L308">
        <v>32</v>
      </c>
      <c r="M308">
        <v>14</v>
      </c>
    </row>
    <row r="309" spans="1:13">
      <c r="A309" t="s">
        <v>51</v>
      </c>
      <c r="B309" t="s">
        <v>44</v>
      </c>
      <c r="C309" t="s">
        <v>54</v>
      </c>
      <c r="D309" t="s">
        <v>46</v>
      </c>
      <c r="E309" t="s">
        <v>50</v>
      </c>
      <c r="F309">
        <v>32131</v>
      </c>
      <c r="G309">
        <v>232</v>
      </c>
      <c r="H309">
        <v>4</v>
      </c>
      <c r="I309">
        <v>3163.26</v>
      </c>
      <c r="J309">
        <v>5423.32</v>
      </c>
      <c r="K309">
        <v>73</v>
      </c>
      <c r="L309">
        <v>5</v>
      </c>
      <c r="M309">
        <v>3</v>
      </c>
    </row>
    <row r="310" spans="1:13">
      <c r="A310" t="s">
        <v>37</v>
      </c>
      <c r="B310" t="s">
        <v>44</v>
      </c>
      <c r="C310" t="s">
        <v>49</v>
      </c>
      <c r="D310" t="s">
        <v>46</v>
      </c>
      <c r="E310" t="s">
        <v>50</v>
      </c>
      <c r="F310">
        <v>62136</v>
      </c>
      <c r="G310">
        <v>1209</v>
      </c>
      <c r="H310">
        <v>35</v>
      </c>
      <c r="I310">
        <v>4996.68</v>
      </c>
      <c r="J310">
        <v>46374.65</v>
      </c>
      <c r="K310">
        <v>499</v>
      </c>
      <c r="L310">
        <v>34</v>
      </c>
      <c r="M310">
        <v>23</v>
      </c>
    </row>
  </sheetData>
  <autoFilter ref="A5:M310" xr:uid="{00000000-0001-0000-0000-000000000000}"/>
  <mergeCells count="2">
    <mergeCell ref="A1:M1"/>
    <mergeCell ref="A3:M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27094-DC51-4928-BD0B-D44EFEE4F921}">
  <sheetPr>
    <tabColor theme="5" tint="-0.499984740745262"/>
  </sheetPr>
  <dimension ref="A1:M307"/>
  <sheetViews>
    <sheetView workbookViewId="0">
      <selection activeCell="B9" sqref="B9"/>
    </sheetView>
  </sheetViews>
  <sheetFormatPr defaultRowHeight="15"/>
  <cols>
    <col min="1" max="1" width="16.140625" customWidth="1"/>
    <col min="2" max="2" width="16.85546875" customWidth="1"/>
    <col min="3" max="3" width="13.7109375" customWidth="1"/>
    <col min="4" max="4" width="13.42578125" customWidth="1"/>
    <col min="5" max="5" width="14.85546875" customWidth="1"/>
    <col min="6" max="6" width="20.85546875" customWidth="1"/>
    <col min="7" max="7" width="12.28515625" customWidth="1"/>
    <col min="8" max="8" width="20.85546875" customWidth="1"/>
    <col min="9" max="9" width="17.7109375" customWidth="1"/>
    <col min="10" max="10" width="20" customWidth="1"/>
    <col min="11" max="11" width="10.42578125" customWidth="1"/>
    <col min="12" max="12" width="19.140625" customWidth="1"/>
    <col min="13" max="13" width="13.5703125" customWidth="1"/>
  </cols>
  <sheetData>
    <row r="1" spans="1:13" ht="32.25" customHeight="1">
      <c r="A1" s="97" t="s">
        <v>63</v>
      </c>
      <c r="B1" s="97"/>
      <c r="C1" s="97"/>
      <c r="D1" s="97"/>
      <c r="E1" s="97"/>
      <c r="F1" s="97"/>
      <c r="G1" s="97"/>
      <c r="H1" s="97"/>
      <c r="I1" s="97"/>
      <c r="J1" s="97"/>
      <c r="K1" s="97"/>
      <c r="L1" s="97"/>
      <c r="M1" s="97"/>
    </row>
    <row r="3" spans="1:13" ht="18.75">
      <c r="A3" s="98" t="s">
        <v>64</v>
      </c>
      <c r="B3" s="98"/>
      <c r="C3" s="98"/>
      <c r="D3" s="98"/>
      <c r="E3" s="98"/>
      <c r="F3" s="98"/>
      <c r="G3" s="98"/>
      <c r="H3" s="98"/>
      <c r="I3" s="98"/>
      <c r="J3" s="98"/>
      <c r="K3" s="98"/>
      <c r="L3" s="98"/>
      <c r="M3" s="98"/>
    </row>
    <row r="5" spans="1:13" ht="16.5" customHeight="1">
      <c r="A5" s="19" t="s">
        <v>25</v>
      </c>
      <c r="B5" s="19" t="s">
        <v>7</v>
      </c>
      <c r="C5" s="19" t="s">
        <v>26</v>
      </c>
      <c r="D5" s="19" t="s">
        <v>27</v>
      </c>
      <c r="E5" s="19" t="s">
        <v>28</v>
      </c>
      <c r="F5" s="19" t="s">
        <v>29</v>
      </c>
      <c r="G5" s="19" t="s">
        <v>30</v>
      </c>
      <c r="H5" s="19" t="s">
        <v>31</v>
      </c>
      <c r="I5" s="19" t="s">
        <v>32</v>
      </c>
      <c r="J5" s="19" t="s">
        <v>33</v>
      </c>
      <c r="K5" s="19" t="s">
        <v>34</v>
      </c>
      <c r="L5" s="19" t="s">
        <v>35</v>
      </c>
      <c r="M5" s="19" t="s">
        <v>36</v>
      </c>
    </row>
    <row r="6" spans="1:13" ht="15.75">
      <c r="A6" s="17" t="s">
        <v>37</v>
      </c>
      <c r="B6" s="17" t="s">
        <v>38</v>
      </c>
      <c r="C6" s="17" t="s">
        <v>39</v>
      </c>
      <c r="D6" s="17" t="s">
        <v>40</v>
      </c>
      <c r="E6" s="17" t="s">
        <v>41</v>
      </c>
      <c r="F6" s="17">
        <v>37013</v>
      </c>
      <c r="G6" s="17">
        <v>524</v>
      </c>
      <c r="H6" s="17">
        <v>12</v>
      </c>
      <c r="I6" s="17">
        <v>7399.24</v>
      </c>
      <c r="J6" s="17">
        <v>14985.65</v>
      </c>
      <c r="K6" s="17">
        <v>209</v>
      </c>
      <c r="L6" s="17">
        <v>15</v>
      </c>
      <c r="M6" s="17">
        <v>8</v>
      </c>
    </row>
    <row r="7" spans="1:13" ht="15.75">
      <c r="A7" s="17" t="s">
        <v>42</v>
      </c>
      <c r="B7" s="17" t="s">
        <v>43</v>
      </c>
      <c r="C7" s="17" t="s">
        <v>39</v>
      </c>
      <c r="D7" s="17" t="s">
        <v>40</v>
      </c>
      <c r="E7" s="17" t="s">
        <v>41</v>
      </c>
      <c r="F7" s="17">
        <v>14509</v>
      </c>
      <c r="G7" s="17">
        <v>140</v>
      </c>
      <c r="H7" s="17">
        <v>3</v>
      </c>
      <c r="I7" s="17">
        <v>7323.71</v>
      </c>
      <c r="J7" s="17">
        <v>1511.84</v>
      </c>
      <c r="K7" s="17">
        <v>56</v>
      </c>
      <c r="L7" s="17">
        <v>7</v>
      </c>
      <c r="M7" s="17">
        <v>3</v>
      </c>
    </row>
    <row r="8" spans="1:13" ht="15.75">
      <c r="A8" s="17" t="s">
        <v>42</v>
      </c>
      <c r="B8" s="17" t="s">
        <v>44</v>
      </c>
      <c r="C8" s="17" t="s">
        <v>45</v>
      </c>
      <c r="D8" s="17" t="s">
        <v>46</v>
      </c>
      <c r="E8" s="17" t="s">
        <v>47</v>
      </c>
      <c r="F8" s="17">
        <v>15840</v>
      </c>
      <c r="G8" s="17">
        <v>162</v>
      </c>
      <c r="H8" s="17">
        <v>3</v>
      </c>
      <c r="I8" s="17">
        <v>7052.29</v>
      </c>
      <c r="J8" s="17">
        <v>3643.73</v>
      </c>
      <c r="K8" s="17">
        <v>66</v>
      </c>
      <c r="L8" s="17">
        <v>4</v>
      </c>
      <c r="M8" s="17">
        <v>3</v>
      </c>
    </row>
    <row r="9" spans="1:13" ht="15.75">
      <c r="A9" s="17" t="s">
        <v>42</v>
      </c>
      <c r="B9" s="17" t="s">
        <v>48</v>
      </c>
      <c r="C9" s="17" t="s">
        <v>49</v>
      </c>
      <c r="D9" s="17" t="s">
        <v>40</v>
      </c>
      <c r="E9" s="17" t="s">
        <v>50</v>
      </c>
      <c r="F9" s="18">
        <v>0</v>
      </c>
      <c r="G9" s="17">
        <v>172</v>
      </c>
      <c r="H9" s="17">
        <v>1</v>
      </c>
      <c r="I9" s="17">
        <v>6718.94</v>
      </c>
      <c r="J9" s="17">
        <v>1117.77</v>
      </c>
      <c r="K9" s="17">
        <v>69</v>
      </c>
      <c r="L9" s="17">
        <v>7</v>
      </c>
      <c r="M9" s="17">
        <v>4</v>
      </c>
    </row>
    <row r="10" spans="1:13" ht="15.75">
      <c r="A10" s="17" t="s">
        <v>51</v>
      </c>
      <c r="B10" s="17" t="s">
        <v>44</v>
      </c>
      <c r="C10" s="17" t="s">
        <v>39</v>
      </c>
      <c r="D10" s="17" t="s">
        <v>46</v>
      </c>
      <c r="E10" s="17" t="s">
        <v>50</v>
      </c>
      <c r="F10" s="17">
        <v>27429</v>
      </c>
      <c r="G10" s="17">
        <v>347</v>
      </c>
      <c r="H10" s="18">
        <v>0</v>
      </c>
      <c r="I10" s="17">
        <v>7636.56</v>
      </c>
      <c r="J10" s="17">
        <v>4915.42</v>
      </c>
      <c r="K10" s="17">
        <v>110</v>
      </c>
      <c r="L10" s="17">
        <v>11</v>
      </c>
      <c r="M10" s="17">
        <v>4</v>
      </c>
    </row>
    <row r="11" spans="1:13" ht="15.75">
      <c r="A11" s="17" t="s">
        <v>42</v>
      </c>
      <c r="B11" s="17" t="s">
        <v>48</v>
      </c>
      <c r="C11" s="17" t="s">
        <v>49</v>
      </c>
      <c r="D11" s="17" t="s">
        <v>40</v>
      </c>
      <c r="E11" s="17" t="s">
        <v>41</v>
      </c>
      <c r="F11" s="17">
        <v>15801</v>
      </c>
      <c r="G11" s="17">
        <v>147</v>
      </c>
      <c r="H11" s="17">
        <v>2</v>
      </c>
      <c r="I11" s="18">
        <v>0</v>
      </c>
      <c r="J11" s="17">
        <v>2095.17</v>
      </c>
      <c r="K11" s="17">
        <v>68</v>
      </c>
      <c r="L11" s="17">
        <v>4</v>
      </c>
      <c r="M11" s="17">
        <v>5</v>
      </c>
    </row>
    <row r="12" spans="1:13" ht="15.75">
      <c r="A12" s="17" t="s">
        <v>37</v>
      </c>
      <c r="B12" s="17" t="s">
        <v>44</v>
      </c>
      <c r="C12" s="17" t="s">
        <v>49</v>
      </c>
      <c r="D12" s="17" t="s">
        <v>46</v>
      </c>
      <c r="E12" s="17" t="s">
        <v>47</v>
      </c>
      <c r="F12" s="17">
        <v>57991</v>
      </c>
      <c r="G12" s="18">
        <v>0</v>
      </c>
      <c r="H12" s="17">
        <v>19</v>
      </c>
      <c r="I12" s="17">
        <v>4461.57</v>
      </c>
      <c r="J12" s="18">
        <v>0</v>
      </c>
      <c r="K12" s="17">
        <v>223</v>
      </c>
      <c r="L12" s="17">
        <v>16</v>
      </c>
      <c r="M12" s="17">
        <v>13</v>
      </c>
    </row>
    <row r="13" spans="1:13" ht="15.75">
      <c r="A13" s="17" t="s">
        <v>52</v>
      </c>
      <c r="B13" s="17" t="s">
        <v>48</v>
      </c>
      <c r="C13" s="17" t="s">
        <v>45</v>
      </c>
      <c r="D13" s="17" t="s">
        <v>40</v>
      </c>
      <c r="E13" s="17" t="s">
        <v>53</v>
      </c>
      <c r="F13" s="17">
        <v>18518</v>
      </c>
      <c r="G13" s="17">
        <v>465</v>
      </c>
      <c r="H13" s="17">
        <v>17</v>
      </c>
      <c r="I13" s="17">
        <v>2654.22</v>
      </c>
      <c r="J13" s="17">
        <v>15029.95</v>
      </c>
      <c r="K13" s="18">
        <v>0</v>
      </c>
      <c r="L13" s="18">
        <v>0</v>
      </c>
      <c r="M13" s="18">
        <v>0</v>
      </c>
    </row>
    <row r="14" spans="1:13" ht="15.75">
      <c r="A14" s="17" t="s">
        <v>51</v>
      </c>
      <c r="B14" s="17" t="s">
        <v>48</v>
      </c>
      <c r="C14" s="17" t="s">
        <v>54</v>
      </c>
      <c r="D14" s="17" t="s">
        <v>46</v>
      </c>
      <c r="E14" s="18" t="s">
        <v>65</v>
      </c>
      <c r="F14" s="18">
        <v>0</v>
      </c>
      <c r="G14" s="17">
        <v>409</v>
      </c>
      <c r="H14" s="17">
        <v>8</v>
      </c>
      <c r="I14" s="17">
        <v>8609.82</v>
      </c>
      <c r="J14" s="17">
        <v>10608.98</v>
      </c>
      <c r="K14" s="17">
        <v>143</v>
      </c>
      <c r="L14" s="17">
        <v>17</v>
      </c>
      <c r="M14" s="17">
        <v>15</v>
      </c>
    </row>
    <row r="15" spans="1:13" ht="15.75">
      <c r="A15" s="17" t="s">
        <v>37</v>
      </c>
      <c r="B15" s="17" t="s">
        <v>38</v>
      </c>
      <c r="C15" s="17" t="s">
        <v>55</v>
      </c>
      <c r="D15" s="17" t="s">
        <v>40</v>
      </c>
      <c r="E15" s="17" t="s">
        <v>50</v>
      </c>
      <c r="F15" s="17">
        <v>79924</v>
      </c>
      <c r="G15" s="17">
        <v>953</v>
      </c>
      <c r="H15" s="17">
        <v>24</v>
      </c>
      <c r="I15" s="17">
        <v>5741.91</v>
      </c>
      <c r="J15" s="17">
        <v>20572.36</v>
      </c>
      <c r="K15" s="18">
        <v>0</v>
      </c>
      <c r="L15" s="17">
        <v>30</v>
      </c>
      <c r="M15" s="17">
        <v>18</v>
      </c>
    </row>
    <row r="16" spans="1:13" ht="15.75">
      <c r="A16" s="17" t="s">
        <v>37</v>
      </c>
      <c r="B16" s="17" t="s">
        <v>44</v>
      </c>
      <c r="C16" s="18" t="s">
        <v>66</v>
      </c>
      <c r="D16" s="17" t="s">
        <v>40</v>
      </c>
      <c r="E16" s="17" t="s">
        <v>41</v>
      </c>
      <c r="F16" s="17">
        <v>29616</v>
      </c>
      <c r="G16" s="17">
        <v>404</v>
      </c>
      <c r="H16" s="17">
        <v>8</v>
      </c>
      <c r="I16" s="17">
        <v>7416.81</v>
      </c>
      <c r="J16" s="17">
        <v>6519.41</v>
      </c>
      <c r="K16" s="17">
        <v>172</v>
      </c>
      <c r="L16" s="17">
        <v>13</v>
      </c>
      <c r="M16" s="17">
        <v>4</v>
      </c>
    </row>
    <row r="17" spans="1:13" ht="15.75">
      <c r="A17" s="17" t="s">
        <v>37</v>
      </c>
      <c r="B17" s="17" t="s">
        <v>43</v>
      </c>
      <c r="C17" s="17" t="s">
        <v>55</v>
      </c>
      <c r="D17" s="17" t="s">
        <v>40</v>
      </c>
      <c r="E17" s="17" t="s">
        <v>47</v>
      </c>
      <c r="F17" s="17">
        <v>55702</v>
      </c>
      <c r="G17" s="17">
        <v>889</v>
      </c>
      <c r="H17" s="17">
        <v>24</v>
      </c>
      <c r="I17" s="17">
        <v>8159.41</v>
      </c>
      <c r="J17" s="17">
        <v>22020.22</v>
      </c>
      <c r="K17" s="17">
        <v>374</v>
      </c>
      <c r="L17" s="17">
        <v>36</v>
      </c>
      <c r="M17" s="17">
        <v>24</v>
      </c>
    </row>
    <row r="18" spans="1:13" ht="15.75">
      <c r="A18" s="17" t="s">
        <v>42</v>
      </c>
      <c r="B18" s="17" t="s">
        <v>44</v>
      </c>
      <c r="C18" s="17" t="s">
        <v>39</v>
      </c>
      <c r="D18" s="17" t="s">
        <v>40</v>
      </c>
      <c r="E18" s="17" t="s">
        <v>47</v>
      </c>
      <c r="F18" s="17">
        <v>28810</v>
      </c>
      <c r="G18" s="17">
        <v>177</v>
      </c>
      <c r="H18" s="17">
        <v>2</v>
      </c>
      <c r="I18" s="17">
        <v>3835.51</v>
      </c>
      <c r="J18" s="17">
        <v>2115.16</v>
      </c>
      <c r="K18" s="17">
        <v>73</v>
      </c>
      <c r="L18" s="17">
        <v>6</v>
      </c>
      <c r="M18" s="17">
        <v>3</v>
      </c>
    </row>
    <row r="19" spans="1:13" ht="15.75">
      <c r="A19" s="17" t="s">
        <v>52</v>
      </c>
      <c r="B19" s="17" t="s">
        <v>44</v>
      </c>
      <c r="C19" s="17" t="s">
        <v>55</v>
      </c>
      <c r="D19" s="17" t="s">
        <v>40</v>
      </c>
      <c r="E19" s="17" t="s">
        <v>53</v>
      </c>
      <c r="F19" s="17">
        <v>31618</v>
      </c>
      <c r="G19" s="17">
        <v>1000</v>
      </c>
      <c r="H19" s="17">
        <v>34</v>
      </c>
      <c r="I19" s="18">
        <v>0</v>
      </c>
      <c r="J19" s="17">
        <v>31986.31</v>
      </c>
      <c r="K19" s="18">
        <v>0</v>
      </c>
      <c r="L19" s="18">
        <v>0</v>
      </c>
      <c r="M19" s="18">
        <v>0</v>
      </c>
    </row>
    <row r="20" spans="1:13" ht="15" customHeight="1">
      <c r="A20" s="17" t="s">
        <v>52</v>
      </c>
      <c r="B20" s="18" t="s">
        <v>67</v>
      </c>
      <c r="C20" s="17" t="s">
        <v>49</v>
      </c>
      <c r="D20" s="17" t="s">
        <v>40</v>
      </c>
      <c r="E20" s="17" t="s">
        <v>53</v>
      </c>
      <c r="F20" s="17">
        <v>66978</v>
      </c>
      <c r="G20" s="17">
        <v>3348</v>
      </c>
      <c r="H20" s="17">
        <v>140</v>
      </c>
      <c r="I20" s="17">
        <v>4227.91</v>
      </c>
      <c r="J20" s="17">
        <v>189550.73</v>
      </c>
      <c r="K20" s="18">
        <v>0</v>
      </c>
      <c r="L20" s="18">
        <v>0</v>
      </c>
      <c r="M20" s="18">
        <v>0</v>
      </c>
    </row>
    <row r="21" spans="1:13" ht="15.75">
      <c r="A21" s="17" t="s">
        <v>52</v>
      </c>
      <c r="B21" s="17" t="s">
        <v>44</v>
      </c>
      <c r="C21" s="17" t="s">
        <v>55</v>
      </c>
      <c r="D21" s="17" t="s">
        <v>46</v>
      </c>
      <c r="E21" s="17" t="s">
        <v>53</v>
      </c>
      <c r="F21" s="17">
        <v>41801</v>
      </c>
      <c r="G21" s="17">
        <v>1694</v>
      </c>
      <c r="H21" s="17">
        <v>55</v>
      </c>
      <c r="I21" s="17">
        <v>2476.6799999999998</v>
      </c>
      <c r="J21" s="18">
        <v>0</v>
      </c>
      <c r="K21" s="18">
        <v>0</v>
      </c>
      <c r="L21" s="18">
        <v>0</v>
      </c>
      <c r="M21" s="18">
        <v>0</v>
      </c>
    </row>
    <row r="22" spans="1:13" ht="15.75">
      <c r="A22" s="17" t="s">
        <v>37</v>
      </c>
      <c r="B22" s="17" t="s">
        <v>43</v>
      </c>
      <c r="C22" s="17" t="s">
        <v>45</v>
      </c>
      <c r="D22" s="17" t="s">
        <v>40</v>
      </c>
      <c r="E22" s="17" t="s">
        <v>50</v>
      </c>
      <c r="F22" s="18">
        <v>0</v>
      </c>
      <c r="G22" s="18">
        <v>0</v>
      </c>
      <c r="H22" s="18">
        <v>0</v>
      </c>
      <c r="I22" s="17">
        <v>6102.15</v>
      </c>
      <c r="J22" s="17">
        <v>19137.43</v>
      </c>
      <c r="K22" s="17">
        <v>298</v>
      </c>
      <c r="L22" s="17">
        <v>33</v>
      </c>
      <c r="M22" s="17">
        <v>25</v>
      </c>
    </row>
    <row r="23" spans="1:13" ht="15.75">
      <c r="A23" s="17" t="s">
        <v>42</v>
      </c>
      <c r="B23" s="17" t="s">
        <v>48</v>
      </c>
      <c r="C23" s="17" t="s">
        <v>49</v>
      </c>
      <c r="D23" s="17" t="s">
        <v>40</v>
      </c>
      <c r="E23" s="17" t="s">
        <v>41</v>
      </c>
      <c r="F23" s="17">
        <v>75520</v>
      </c>
      <c r="G23" s="17">
        <v>650</v>
      </c>
      <c r="H23" s="18">
        <v>0</v>
      </c>
      <c r="I23" s="17">
        <v>3114.36</v>
      </c>
      <c r="J23" s="17">
        <v>7296.77</v>
      </c>
      <c r="K23" s="17">
        <v>218</v>
      </c>
      <c r="L23" s="17">
        <v>36</v>
      </c>
      <c r="M23" s="17">
        <v>13</v>
      </c>
    </row>
    <row r="24" spans="1:13" ht="15.75">
      <c r="A24" s="17" t="s">
        <v>37</v>
      </c>
      <c r="B24" s="17" t="s">
        <v>48</v>
      </c>
      <c r="C24" s="17" t="s">
        <v>49</v>
      </c>
      <c r="D24" s="17" t="s">
        <v>40</v>
      </c>
      <c r="E24" s="17" t="s">
        <v>41</v>
      </c>
      <c r="F24" s="17">
        <v>62576</v>
      </c>
      <c r="G24" s="17">
        <v>760</v>
      </c>
      <c r="H24" s="17">
        <v>20</v>
      </c>
      <c r="I24" s="17">
        <v>3531.39</v>
      </c>
      <c r="J24" s="17">
        <v>24892.06</v>
      </c>
      <c r="K24" s="17">
        <v>299</v>
      </c>
      <c r="L24" s="17">
        <v>33</v>
      </c>
      <c r="M24" s="17">
        <v>10</v>
      </c>
    </row>
    <row r="25" spans="1:13" ht="15.75">
      <c r="A25" s="17" t="s">
        <v>52</v>
      </c>
      <c r="B25" s="17" t="s">
        <v>48</v>
      </c>
      <c r="C25" s="17" t="s">
        <v>39</v>
      </c>
      <c r="D25" s="17" t="s">
        <v>40</v>
      </c>
      <c r="E25" s="17" t="s">
        <v>53</v>
      </c>
      <c r="F25" s="17">
        <v>31731</v>
      </c>
      <c r="G25" s="17">
        <v>771</v>
      </c>
      <c r="H25" s="17">
        <v>28</v>
      </c>
      <c r="I25" s="17">
        <v>3288.24</v>
      </c>
      <c r="J25" s="17">
        <v>20961.150000000001</v>
      </c>
      <c r="K25" s="18">
        <v>0</v>
      </c>
      <c r="L25" s="18">
        <v>0</v>
      </c>
      <c r="M25" s="18">
        <v>0</v>
      </c>
    </row>
    <row r="26" spans="1:13" ht="15.75">
      <c r="A26" s="17" t="s">
        <v>42</v>
      </c>
      <c r="B26" s="17" t="s">
        <v>38</v>
      </c>
      <c r="C26" s="17" t="s">
        <v>55</v>
      </c>
      <c r="D26" s="17" t="s">
        <v>40</v>
      </c>
      <c r="E26" s="17" t="s">
        <v>47</v>
      </c>
      <c r="F26" s="17">
        <v>67485</v>
      </c>
      <c r="G26" s="17">
        <v>502</v>
      </c>
      <c r="H26" s="17">
        <v>6</v>
      </c>
      <c r="I26" s="18">
        <v>0</v>
      </c>
      <c r="J26" s="17">
        <v>8533.4</v>
      </c>
      <c r="K26" s="17">
        <v>243</v>
      </c>
      <c r="L26" s="17">
        <v>21</v>
      </c>
      <c r="M26" s="17">
        <v>13</v>
      </c>
    </row>
    <row r="27" spans="1:13" ht="15.75">
      <c r="A27" s="17" t="s">
        <v>37</v>
      </c>
      <c r="B27" s="17" t="s">
        <v>43</v>
      </c>
      <c r="C27" s="17" t="s">
        <v>55</v>
      </c>
      <c r="D27" s="17" t="s">
        <v>40</v>
      </c>
      <c r="E27" s="17" t="s">
        <v>47</v>
      </c>
      <c r="F27" s="17">
        <v>24254</v>
      </c>
      <c r="G27" s="17">
        <v>345</v>
      </c>
      <c r="H27" s="17">
        <v>9</v>
      </c>
      <c r="I27" s="17">
        <v>2104.02</v>
      </c>
      <c r="J27" s="17">
        <v>11625.81</v>
      </c>
      <c r="K27" s="17">
        <v>142</v>
      </c>
      <c r="L27" s="17">
        <v>19</v>
      </c>
      <c r="M27" s="17">
        <v>9</v>
      </c>
    </row>
    <row r="28" spans="1:13" ht="15.75">
      <c r="A28" s="17" t="s">
        <v>42</v>
      </c>
      <c r="B28" s="17" t="s">
        <v>48</v>
      </c>
      <c r="C28" s="17" t="s">
        <v>39</v>
      </c>
      <c r="D28" s="17" t="s">
        <v>46</v>
      </c>
      <c r="E28" s="17" t="s">
        <v>50</v>
      </c>
      <c r="F28" s="18">
        <v>0</v>
      </c>
      <c r="G28" s="17">
        <v>634</v>
      </c>
      <c r="H28" s="17">
        <v>9</v>
      </c>
      <c r="I28" s="17">
        <v>6961.95</v>
      </c>
      <c r="J28" s="17">
        <v>10745.01</v>
      </c>
      <c r="K28" s="17">
        <v>203</v>
      </c>
      <c r="L28" s="18">
        <v>0</v>
      </c>
      <c r="M28" s="17">
        <v>9</v>
      </c>
    </row>
    <row r="29" spans="1:13" ht="15.75">
      <c r="A29" s="17" t="s">
        <v>42</v>
      </c>
      <c r="B29" s="17" t="s">
        <v>48</v>
      </c>
      <c r="C29" s="17" t="s">
        <v>45</v>
      </c>
      <c r="D29" s="17" t="s">
        <v>40</v>
      </c>
      <c r="E29" s="17" t="s">
        <v>41</v>
      </c>
      <c r="F29" s="17">
        <v>65484</v>
      </c>
      <c r="G29" s="17">
        <v>641</v>
      </c>
      <c r="H29" s="17">
        <v>19</v>
      </c>
      <c r="I29" s="17">
        <v>5548.85</v>
      </c>
      <c r="J29" s="17">
        <v>20697.61</v>
      </c>
      <c r="K29" s="17">
        <v>217</v>
      </c>
      <c r="L29" s="17">
        <v>24</v>
      </c>
      <c r="M29" s="17">
        <v>12</v>
      </c>
    </row>
    <row r="30" spans="1:13" ht="15.75">
      <c r="A30" s="17" t="s">
        <v>51</v>
      </c>
      <c r="B30" s="17" t="s">
        <v>44</v>
      </c>
      <c r="C30" s="17" t="s">
        <v>54</v>
      </c>
      <c r="D30" s="17" t="s">
        <v>46</v>
      </c>
      <c r="E30" s="17" t="s">
        <v>50</v>
      </c>
      <c r="F30" s="17">
        <v>14312</v>
      </c>
      <c r="G30" s="17">
        <v>141</v>
      </c>
      <c r="H30" s="17">
        <v>2</v>
      </c>
      <c r="I30" s="17">
        <v>2262.9</v>
      </c>
      <c r="J30" s="18">
        <v>0</v>
      </c>
      <c r="K30" s="17">
        <v>58</v>
      </c>
      <c r="L30" s="17">
        <v>4</v>
      </c>
      <c r="M30" s="17">
        <v>2</v>
      </c>
    </row>
    <row r="31" spans="1:13" ht="15.75">
      <c r="A31" s="17" t="s">
        <v>52</v>
      </c>
      <c r="B31" s="17" t="s">
        <v>38</v>
      </c>
      <c r="C31" s="17" t="s">
        <v>54</v>
      </c>
      <c r="D31" s="17" t="s">
        <v>40</v>
      </c>
      <c r="E31" s="17" t="s">
        <v>56</v>
      </c>
      <c r="F31" s="17">
        <v>48834</v>
      </c>
      <c r="G31" s="17">
        <v>1921</v>
      </c>
      <c r="H31" s="18">
        <v>0</v>
      </c>
      <c r="I31" s="17">
        <v>7867.83</v>
      </c>
      <c r="J31" s="17">
        <v>102486.7</v>
      </c>
      <c r="K31" s="18">
        <v>0</v>
      </c>
      <c r="L31" s="18">
        <v>0</v>
      </c>
      <c r="M31" s="18">
        <v>0</v>
      </c>
    </row>
    <row r="32" spans="1:13" ht="15.75">
      <c r="A32" s="17" t="s">
        <v>42</v>
      </c>
      <c r="B32" s="17" t="s">
        <v>38</v>
      </c>
      <c r="C32" s="17" t="s">
        <v>49</v>
      </c>
      <c r="D32" s="17" t="s">
        <v>40</v>
      </c>
      <c r="E32" s="17" t="s">
        <v>47</v>
      </c>
      <c r="F32" s="17">
        <v>23841</v>
      </c>
      <c r="G32" s="18">
        <v>0</v>
      </c>
      <c r="H32" s="17">
        <v>7</v>
      </c>
      <c r="I32" s="17">
        <v>6222.14</v>
      </c>
      <c r="J32" s="17">
        <v>3648.16</v>
      </c>
      <c r="K32" s="17">
        <v>112</v>
      </c>
      <c r="L32" s="17">
        <v>6</v>
      </c>
      <c r="M32" s="17">
        <v>5</v>
      </c>
    </row>
    <row r="33" spans="1:13" ht="15.75">
      <c r="A33" s="17" t="s">
        <v>51</v>
      </c>
      <c r="B33" s="17" t="s">
        <v>44</v>
      </c>
      <c r="C33" s="17" t="s">
        <v>49</v>
      </c>
      <c r="D33" s="17" t="s">
        <v>40</v>
      </c>
      <c r="E33" s="17" t="s">
        <v>50</v>
      </c>
      <c r="F33" s="17">
        <v>62516</v>
      </c>
      <c r="G33" s="17">
        <v>853</v>
      </c>
      <c r="H33" s="17">
        <v>15</v>
      </c>
      <c r="I33" s="17">
        <v>5591.86</v>
      </c>
      <c r="J33" s="17">
        <v>10122.209999999999</v>
      </c>
      <c r="K33" s="17">
        <v>258</v>
      </c>
      <c r="L33" s="17">
        <v>46</v>
      </c>
      <c r="M33" s="17">
        <v>27</v>
      </c>
    </row>
    <row r="34" spans="1:13" ht="15.75">
      <c r="A34" s="17" t="s">
        <v>52</v>
      </c>
      <c r="B34" s="17" t="s">
        <v>43</v>
      </c>
      <c r="C34" s="17" t="s">
        <v>45</v>
      </c>
      <c r="D34" s="17" t="s">
        <v>46</v>
      </c>
      <c r="E34" s="17" t="s">
        <v>56</v>
      </c>
      <c r="F34" s="18">
        <v>0</v>
      </c>
      <c r="G34" s="17">
        <v>1312</v>
      </c>
      <c r="H34" s="17">
        <v>43</v>
      </c>
      <c r="I34" s="17">
        <v>5196.88</v>
      </c>
      <c r="J34" s="17">
        <v>36063.199999999997</v>
      </c>
      <c r="K34" s="18">
        <v>0</v>
      </c>
      <c r="L34" s="18">
        <v>0</v>
      </c>
      <c r="M34" s="18">
        <v>0</v>
      </c>
    </row>
    <row r="35" spans="1:13" ht="15.75">
      <c r="A35" s="17" t="s">
        <v>52</v>
      </c>
      <c r="B35" s="17" t="s">
        <v>48</v>
      </c>
      <c r="C35" s="17" t="s">
        <v>55</v>
      </c>
      <c r="D35" s="17" t="s">
        <v>40</v>
      </c>
      <c r="E35" s="17" t="s">
        <v>53</v>
      </c>
      <c r="F35" s="17">
        <v>68670</v>
      </c>
      <c r="G35" s="17">
        <v>1689</v>
      </c>
      <c r="H35" s="18">
        <v>0</v>
      </c>
      <c r="I35" s="17">
        <v>2662.61</v>
      </c>
      <c r="J35" s="17">
        <v>43768.92</v>
      </c>
      <c r="K35" s="18">
        <v>0</v>
      </c>
      <c r="L35" s="18">
        <v>0</v>
      </c>
      <c r="M35" s="18">
        <v>0</v>
      </c>
    </row>
    <row r="36" spans="1:13" ht="15.75">
      <c r="A36" s="17" t="s">
        <v>52</v>
      </c>
      <c r="B36" s="17" t="s">
        <v>38</v>
      </c>
      <c r="C36" s="17" t="s">
        <v>45</v>
      </c>
      <c r="D36" s="17" t="s">
        <v>40</v>
      </c>
      <c r="E36" s="17" t="s">
        <v>56</v>
      </c>
      <c r="F36" s="17">
        <v>37471</v>
      </c>
      <c r="G36" s="17">
        <v>1357</v>
      </c>
      <c r="H36" s="17">
        <v>29</v>
      </c>
      <c r="I36" s="17">
        <v>6016.43</v>
      </c>
      <c r="J36" s="17">
        <v>37803.480000000003</v>
      </c>
      <c r="K36" s="18">
        <v>0</v>
      </c>
      <c r="L36" s="18">
        <v>0</v>
      </c>
      <c r="M36" s="18">
        <v>0</v>
      </c>
    </row>
    <row r="37" spans="1:13" ht="15.75">
      <c r="A37" s="17" t="s">
        <v>42</v>
      </c>
      <c r="B37" s="17" t="s">
        <v>43</v>
      </c>
      <c r="C37" s="17" t="s">
        <v>54</v>
      </c>
      <c r="D37" s="17" t="s">
        <v>40</v>
      </c>
      <c r="E37" s="17" t="s">
        <v>50</v>
      </c>
      <c r="F37" s="17">
        <v>19197</v>
      </c>
      <c r="G37" s="17">
        <v>147</v>
      </c>
      <c r="H37" s="17">
        <v>4</v>
      </c>
      <c r="I37" s="17">
        <v>4458.49</v>
      </c>
      <c r="J37" s="17">
        <v>5457.92</v>
      </c>
      <c r="K37" s="17">
        <v>55</v>
      </c>
      <c r="L37" s="17">
        <v>4</v>
      </c>
      <c r="M37" s="17">
        <v>5</v>
      </c>
    </row>
    <row r="38" spans="1:13" ht="15.75">
      <c r="A38" s="17" t="s">
        <v>42</v>
      </c>
      <c r="B38" s="17" t="s">
        <v>44</v>
      </c>
      <c r="C38" s="17" t="s">
        <v>55</v>
      </c>
      <c r="D38" s="17" t="s">
        <v>46</v>
      </c>
      <c r="E38" s="17" t="s">
        <v>50</v>
      </c>
      <c r="F38" s="17">
        <v>57215</v>
      </c>
      <c r="G38" s="17">
        <v>858</v>
      </c>
      <c r="H38" s="17">
        <v>19</v>
      </c>
      <c r="I38" s="17">
        <v>7154.68</v>
      </c>
      <c r="J38" s="17">
        <v>13550.54</v>
      </c>
      <c r="K38" s="17">
        <v>411</v>
      </c>
      <c r="L38" s="17">
        <v>50</v>
      </c>
      <c r="M38" s="17">
        <v>16</v>
      </c>
    </row>
    <row r="39" spans="1:13" ht="15.75">
      <c r="A39" s="17" t="s">
        <v>42</v>
      </c>
      <c r="B39" s="17" t="s">
        <v>44</v>
      </c>
      <c r="C39" s="17" t="s">
        <v>39</v>
      </c>
      <c r="D39" s="17" t="s">
        <v>46</v>
      </c>
      <c r="E39" s="17" t="s">
        <v>41</v>
      </c>
      <c r="F39" s="17">
        <v>71168</v>
      </c>
      <c r="G39" s="17">
        <v>620</v>
      </c>
      <c r="H39" s="17">
        <v>12</v>
      </c>
      <c r="I39" s="17">
        <v>8058.87</v>
      </c>
      <c r="J39" s="17">
        <v>16962.98</v>
      </c>
      <c r="K39" s="17">
        <v>242</v>
      </c>
      <c r="L39" s="17">
        <v>15</v>
      </c>
      <c r="M39" s="17">
        <v>21</v>
      </c>
    </row>
    <row r="40" spans="1:13" ht="15.75">
      <c r="A40" s="17" t="s">
        <v>51</v>
      </c>
      <c r="B40" s="17" t="s">
        <v>48</v>
      </c>
      <c r="C40" s="17" t="s">
        <v>54</v>
      </c>
      <c r="D40" s="17" t="s">
        <v>40</v>
      </c>
      <c r="E40" s="17" t="s">
        <v>50</v>
      </c>
      <c r="F40" s="17">
        <v>67887</v>
      </c>
      <c r="G40" s="17">
        <v>871</v>
      </c>
      <c r="H40" s="17">
        <v>10</v>
      </c>
      <c r="I40" s="17">
        <v>4824.29</v>
      </c>
      <c r="J40" s="17">
        <v>8557.7199999999993</v>
      </c>
      <c r="K40" s="17">
        <v>399</v>
      </c>
      <c r="L40" s="17">
        <v>46</v>
      </c>
      <c r="M40" s="17">
        <v>22</v>
      </c>
    </row>
    <row r="41" spans="1:13" ht="15.75">
      <c r="A41" s="17" t="s">
        <v>51</v>
      </c>
      <c r="B41" s="17" t="s">
        <v>48</v>
      </c>
      <c r="C41" s="17" t="s">
        <v>45</v>
      </c>
      <c r="D41" s="17" t="s">
        <v>40</v>
      </c>
      <c r="E41" s="18" t="s">
        <v>65</v>
      </c>
      <c r="F41" s="17">
        <v>72522</v>
      </c>
      <c r="G41" s="17">
        <v>660</v>
      </c>
      <c r="H41" s="17">
        <v>8</v>
      </c>
      <c r="I41" s="17">
        <v>5913.61</v>
      </c>
      <c r="J41" s="17">
        <v>7429.98</v>
      </c>
      <c r="K41" s="17">
        <v>265</v>
      </c>
      <c r="L41" s="17">
        <v>36</v>
      </c>
      <c r="M41" s="17">
        <v>12</v>
      </c>
    </row>
    <row r="42" spans="1:13" ht="15.75">
      <c r="A42" s="17" t="s">
        <v>42</v>
      </c>
      <c r="B42" s="17" t="s">
        <v>48</v>
      </c>
      <c r="C42" s="17" t="s">
        <v>55</v>
      </c>
      <c r="D42" s="17" t="s">
        <v>40</v>
      </c>
      <c r="E42" s="17" t="s">
        <v>41</v>
      </c>
      <c r="F42" s="17">
        <v>32086</v>
      </c>
      <c r="G42" s="17">
        <v>253</v>
      </c>
      <c r="H42" s="17">
        <v>7</v>
      </c>
      <c r="I42" s="17">
        <v>4775.09</v>
      </c>
      <c r="J42" s="17">
        <v>4794.07</v>
      </c>
      <c r="K42" s="17">
        <v>118</v>
      </c>
      <c r="L42" s="17">
        <v>10</v>
      </c>
      <c r="M42" s="17">
        <v>2</v>
      </c>
    </row>
    <row r="43" spans="1:13" ht="15.75">
      <c r="A43" s="17" t="s">
        <v>42</v>
      </c>
      <c r="B43" s="17" t="s">
        <v>44</v>
      </c>
      <c r="C43" s="17" t="s">
        <v>54</v>
      </c>
      <c r="D43" s="17" t="s">
        <v>46</v>
      </c>
      <c r="E43" s="17" t="s">
        <v>41</v>
      </c>
      <c r="F43" s="17">
        <v>12138</v>
      </c>
      <c r="G43" s="17">
        <v>127</v>
      </c>
      <c r="H43" s="17">
        <v>1</v>
      </c>
      <c r="I43" s="17">
        <v>8922.42</v>
      </c>
      <c r="J43" s="17">
        <v>868.03</v>
      </c>
      <c r="K43" s="17">
        <v>58</v>
      </c>
      <c r="L43" s="17">
        <v>5</v>
      </c>
      <c r="M43" s="17">
        <v>4</v>
      </c>
    </row>
    <row r="44" spans="1:13" ht="15.75">
      <c r="A44" s="17" t="s">
        <v>51</v>
      </c>
      <c r="B44" s="17" t="s">
        <v>44</v>
      </c>
      <c r="C44" s="17" t="s">
        <v>45</v>
      </c>
      <c r="D44" s="17" t="s">
        <v>46</v>
      </c>
      <c r="E44" s="17" t="s">
        <v>50</v>
      </c>
      <c r="F44" s="17">
        <v>47004</v>
      </c>
      <c r="G44" s="17">
        <v>567</v>
      </c>
      <c r="H44" s="17">
        <v>5</v>
      </c>
      <c r="I44" s="17">
        <v>4017.77</v>
      </c>
      <c r="J44" s="17">
        <v>7192.57</v>
      </c>
      <c r="K44" s="17">
        <v>250</v>
      </c>
      <c r="L44" s="17">
        <v>17</v>
      </c>
      <c r="M44" s="17">
        <v>7</v>
      </c>
    </row>
    <row r="45" spans="1:13" ht="15.75">
      <c r="A45" s="17" t="s">
        <v>52</v>
      </c>
      <c r="B45" s="17" t="s">
        <v>38</v>
      </c>
      <c r="C45" s="17" t="s">
        <v>49</v>
      </c>
      <c r="D45" s="17" t="s">
        <v>46</v>
      </c>
      <c r="E45" s="17" t="s">
        <v>53</v>
      </c>
      <c r="F45" s="17">
        <v>16988</v>
      </c>
      <c r="G45" s="17">
        <v>573</v>
      </c>
      <c r="H45" s="17">
        <v>20</v>
      </c>
      <c r="I45" s="17">
        <v>5211.07</v>
      </c>
      <c r="J45" s="17">
        <v>12935.38</v>
      </c>
      <c r="K45" s="18">
        <v>0</v>
      </c>
      <c r="L45" s="18">
        <v>0</v>
      </c>
      <c r="M45" s="18">
        <v>0</v>
      </c>
    </row>
    <row r="46" spans="1:13" ht="15.75">
      <c r="A46" s="17" t="s">
        <v>52</v>
      </c>
      <c r="B46" s="17" t="s">
        <v>43</v>
      </c>
      <c r="C46" s="17" t="s">
        <v>54</v>
      </c>
      <c r="D46" s="17" t="s">
        <v>46</v>
      </c>
      <c r="E46" s="17" t="s">
        <v>53</v>
      </c>
      <c r="F46" s="17">
        <v>67581</v>
      </c>
      <c r="G46" s="18">
        <v>0</v>
      </c>
      <c r="H46" s="17">
        <v>74</v>
      </c>
      <c r="I46" s="17">
        <v>2797.72</v>
      </c>
      <c r="J46" s="17">
        <v>60764.51</v>
      </c>
      <c r="K46" s="18">
        <v>0</v>
      </c>
      <c r="L46" s="18">
        <v>0</v>
      </c>
      <c r="M46" s="18">
        <v>0</v>
      </c>
    </row>
    <row r="47" spans="1:13" ht="15.75">
      <c r="A47" s="17" t="s">
        <v>37</v>
      </c>
      <c r="B47" s="17" t="s">
        <v>43</v>
      </c>
      <c r="C47" s="17" t="s">
        <v>39</v>
      </c>
      <c r="D47" s="17" t="s">
        <v>46</v>
      </c>
      <c r="E47" s="17" t="s">
        <v>50</v>
      </c>
      <c r="F47" s="17">
        <v>78526</v>
      </c>
      <c r="G47" s="17">
        <v>1106</v>
      </c>
      <c r="H47" s="17">
        <v>25</v>
      </c>
      <c r="I47" s="17">
        <v>6466.25</v>
      </c>
      <c r="J47" s="17">
        <v>20943.87</v>
      </c>
      <c r="K47" s="17">
        <v>530</v>
      </c>
      <c r="L47" s="17">
        <v>63</v>
      </c>
      <c r="M47" s="17">
        <v>23</v>
      </c>
    </row>
    <row r="48" spans="1:13" ht="15.75">
      <c r="A48" s="17" t="s">
        <v>51</v>
      </c>
      <c r="B48" s="17" t="s">
        <v>44</v>
      </c>
      <c r="C48" s="17" t="s">
        <v>55</v>
      </c>
      <c r="D48" s="17" t="s">
        <v>46</v>
      </c>
      <c r="E48" s="17" t="s">
        <v>50</v>
      </c>
      <c r="F48" s="17">
        <v>62039</v>
      </c>
      <c r="G48" s="17">
        <v>433</v>
      </c>
      <c r="H48" s="17">
        <v>7</v>
      </c>
      <c r="I48" s="17">
        <v>4772.82</v>
      </c>
      <c r="J48" s="17">
        <v>4108.79</v>
      </c>
      <c r="K48" s="17">
        <v>197</v>
      </c>
      <c r="L48" s="17">
        <v>13</v>
      </c>
      <c r="M48" s="17">
        <v>11</v>
      </c>
    </row>
    <row r="49" spans="1:13" ht="15.75">
      <c r="A49" s="17" t="s">
        <v>51</v>
      </c>
      <c r="B49" s="17" t="s">
        <v>38</v>
      </c>
      <c r="C49" s="17" t="s">
        <v>54</v>
      </c>
      <c r="D49" s="17" t="s">
        <v>46</v>
      </c>
      <c r="E49" s="17" t="s">
        <v>50</v>
      </c>
      <c r="F49" s="17">
        <v>55272</v>
      </c>
      <c r="G49" s="17">
        <v>594</v>
      </c>
      <c r="H49" s="17">
        <v>13</v>
      </c>
      <c r="I49" s="17">
        <v>8149.26</v>
      </c>
      <c r="J49" s="17">
        <v>14887.96</v>
      </c>
      <c r="K49" s="17">
        <v>184</v>
      </c>
      <c r="L49" s="17">
        <v>18</v>
      </c>
      <c r="M49" s="17">
        <v>18</v>
      </c>
    </row>
    <row r="50" spans="1:13" ht="15.75">
      <c r="A50" s="17" t="s">
        <v>52</v>
      </c>
      <c r="B50" s="17" t="s">
        <v>48</v>
      </c>
      <c r="C50" s="17" t="s">
        <v>55</v>
      </c>
      <c r="D50" s="17" t="s">
        <v>40</v>
      </c>
      <c r="E50" s="17" t="s">
        <v>56</v>
      </c>
      <c r="F50" s="18">
        <v>0</v>
      </c>
      <c r="G50" s="17">
        <v>1931</v>
      </c>
      <c r="H50" s="17">
        <v>96</v>
      </c>
      <c r="I50" s="17">
        <v>3323.21</v>
      </c>
      <c r="J50" s="17">
        <v>120699.46</v>
      </c>
      <c r="K50" s="18">
        <v>0</v>
      </c>
      <c r="L50" s="18">
        <v>0</v>
      </c>
      <c r="M50" s="18">
        <v>0</v>
      </c>
    </row>
    <row r="51" spans="1:13" ht="15.75">
      <c r="A51" s="17" t="s">
        <v>51</v>
      </c>
      <c r="B51" s="17" t="s">
        <v>48</v>
      </c>
      <c r="C51" s="17" t="s">
        <v>55</v>
      </c>
      <c r="D51" s="17" t="s">
        <v>46</v>
      </c>
      <c r="E51" s="17" t="s">
        <v>50</v>
      </c>
      <c r="F51" s="17">
        <v>69194</v>
      </c>
      <c r="G51" s="17">
        <v>684</v>
      </c>
      <c r="H51" s="17">
        <v>9</v>
      </c>
      <c r="I51" s="18">
        <v>0</v>
      </c>
      <c r="J51" s="18">
        <v>0</v>
      </c>
      <c r="K51" s="17">
        <v>300</v>
      </c>
      <c r="L51" s="17">
        <v>19</v>
      </c>
      <c r="M51" s="17">
        <v>20</v>
      </c>
    </row>
    <row r="52" spans="1:13" ht="15.75">
      <c r="A52" s="17" t="s">
        <v>42</v>
      </c>
      <c r="B52" s="17" t="s">
        <v>48</v>
      </c>
      <c r="C52" s="17" t="s">
        <v>54</v>
      </c>
      <c r="D52" s="17" t="s">
        <v>46</v>
      </c>
      <c r="E52" s="17" t="s">
        <v>50</v>
      </c>
      <c r="F52" s="17">
        <v>55003</v>
      </c>
      <c r="G52" s="17">
        <v>501</v>
      </c>
      <c r="H52" s="17">
        <v>12</v>
      </c>
      <c r="I52" s="17">
        <v>7552.89</v>
      </c>
      <c r="J52" s="17">
        <v>6778.88</v>
      </c>
      <c r="K52" s="17">
        <v>184</v>
      </c>
      <c r="L52" s="17">
        <v>10</v>
      </c>
      <c r="M52" s="17">
        <v>17</v>
      </c>
    </row>
    <row r="53" spans="1:13" ht="15.75">
      <c r="A53" s="17" t="s">
        <v>42</v>
      </c>
      <c r="B53" s="17" t="s">
        <v>48</v>
      </c>
      <c r="C53" s="17" t="s">
        <v>39</v>
      </c>
      <c r="D53" s="17" t="s">
        <v>46</v>
      </c>
      <c r="E53" s="17" t="s">
        <v>47</v>
      </c>
      <c r="F53" s="17">
        <v>29996</v>
      </c>
      <c r="G53" s="17">
        <v>305</v>
      </c>
      <c r="H53" s="17">
        <v>5</v>
      </c>
      <c r="I53" s="17">
        <v>3455.49</v>
      </c>
      <c r="J53" s="17">
        <v>2789.75</v>
      </c>
      <c r="K53" s="17">
        <v>107</v>
      </c>
      <c r="L53" s="17">
        <v>12</v>
      </c>
      <c r="M53" s="17">
        <v>12</v>
      </c>
    </row>
    <row r="54" spans="1:13" ht="15.75">
      <c r="A54" s="17" t="s">
        <v>37</v>
      </c>
      <c r="B54" s="17" t="s">
        <v>48</v>
      </c>
      <c r="C54" s="17" t="s">
        <v>49</v>
      </c>
      <c r="D54" s="17" t="s">
        <v>46</v>
      </c>
      <c r="E54" s="17" t="s">
        <v>41</v>
      </c>
      <c r="F54" s="17">
        <v>57210</v>
      </c>
      <c r="G54" s="17">
        <v>1325</v>
      </c>
      <c r="H54" s="17">
        <v>22</v>
      </c>
      <c r="I54" s="17">
        <v>3025.61</v>
      </c>
      <c r="J54" s="17">
        <v>13139.99</v>
      </c>
      <c r="K54" s="17">
        <v>474</v>
      </c>
      <c r="L54" s="17">
        <v>64</v>
      </c>
      <c r="M54" s="17">
        <v>35</v>
      </c>
    </row>
    <row r="55" spans="1:13" ht="15.75">
      <c r="A55" s="17" t="s">
        <v>42</v>
      </c>
      <c r="B55" s="17" t="s">
        <v>44</v>
      </c>
      <c r="C55" s="17" t="s">
        <v>55</v>
      </c>
      <c r="D55" s="17" t="s">
        <v>46</v>
      </c>
      <c r="E55" s="17" t="s">
        <v>47</v>
      </c>
      <c r="F55" s="17">
        <v>39270</v>
      </c>
      <c r="G55" s="17">
        <v>218</v>
      </c>
      <c r="H55" s="17">
        <v>5</v>
      </c>
      <c r="I55" s="17">
        <v>7870.04</v>
      </c>
      <c r="J55" s="17">
        <v>5577.51</v>
      </c>
      <c r="K55" s="17">
        <v>104</v>
      </c>
      <c r="L55" s="17">
        <v>8</v>
      </c>
      <c r="M55" s="17">
        <v>6</v>
      </c>
    </row>
    <row r="56" spans="1:13" ht="15.75">
      <c r="A56" s="17" t="s">
        <v>37</v>
      </c>
      <c r="B56" s="17" t="s">
        <v>44</v>
      </c>
      <c r="C56" s="17" t="s">
        <v>54</v>
      </c>
      <c r="D56" s="17" t="s">
        <v>46</v>
      </c>
      <c r="E56" s="17" t="s">
        <v>47</v>
      </c>
      <c r="F56" s="17">
        <v>34323</v>
      </c>
      <c r="G56" s="17">
        <v>455</v>
      </c>
      <c r="H56" s="17">
        <v>14</v>
      </c>
      <c r="I56" s="17">
        <v>5535.41</v>
      </c>
      <c r="J56" s="17">
        <v>14496.56</v>
      </c>
      <c r="K56" s="17">
        <v>167</v>
      </c>
      <c r="L56" s="17">
        <v>11</v>
      </c>
      <c r="M56" s="17">
        <v>13</v>
      </c>
    </row>
    <row r="57" spans="1:13" ht="15.75">
      <c r="A57" s="17" t="s">
        <v>51</v>
      </c>
      <c r="B57" s="17" t="s">
        <v>38</v>
      </c>
      <c r="C57" s="17" t="s">
        <v>55</v>
      </c>
      <c r="D57" s="17" t="s">
        <v>40</v>
      </c>
      <c r="E57" s="17" t="s">
        <v>50</v>
      </c>
      <c r="F57" s="17">
        <v>55264</v>
      </c>
      <c r="G57" s="18">
        <v>0</v>
      </c>
      <c r="H57" s="17">
        <v>14</v>
      </c>
      <c r="I57" s="17">
        <v>8549.69</v>
      </c>
      <c r="J57" s="17">
        <v>10050.719999999999</v>
      </c>
      <c r="K57" s="17">
        <v>351</v>
      </c>
      <c r="L57" s="17">
        <v>14</v>
      </c>
      <c r="M57" s="17">
        <v>12</v>
      </c>
    </row>
    <row r="58" spans="1:13" ht="15.75">
      <c r="A58" s="17" t="s">
        <v>52</v>
      </c>
      <c r="B58" s="17" t="s">
        <v>48</v>
      </c>
      <c r="C58" s="17" t="s">
        <v>39</v>
      </c>
      <c r="D58" s="17" t="s">
        <v>46</v>
      </c>
      <c r="E58" s="17" t="s">
        <v>56</v>
      </c>
      <c r="F58" s="17">
        <v>71371</v>
      </c>
      <c r="G58" s="17">
        <v>1508</v>
      </c>
      <c r="H58" s="17">
        <v>55</v>
      </c>
      <c r="I58" s="17">
        <v>2924.39</v>
      </c>
      <c r="J58" s="17">
        <v>33928.370000000003</v>
      </c>
      <c r="K58" s="18">
        <v>0</v>
      </c>
      <c r="L58" s="18">
        <v>0</v>
      </c>
      <c r="M58" s="18">
        <v>0</v>
      </c>
    </row>
    <row r="59" spans="1:13" ht="15.75">
      <c r="A59" s="17" t="s">
        <v>51</v>
      </c>
      <c r="B59" s="17" t="s">
        <v>48</v>
      </c>
      <c r="C59" s="17" t="s">
        <v>55</v>
      </c>
      <c r="D59" s="17" t="s">
        <v>46</v>
      </c>
      <c r="E59" s="17" t="s">
        <v>50</v>
      </c>
      <c r="F59" s="17">
        <v>30071</v>
      </c>
      <c r="G59" s="17">
        <v>264</v>
      </c>
      <c r="H59" s="17">
        <v>5</v>
      </c>
      <c r="I59" s="17">
        <v>7397.5</v>
      </c>
      <c r="J59" s="17">
        <v>4287.32</v>
      </c>
      <c r="K59" s="17">
        <v>120</v>
      </c>
      <c r="L59" s="17">
        <v>6</v>
      </c>
      <c r="M59" s="17">
        <v>6</v>
      </c>
    </row>
    <row r="60" spans="1:13" ht="15.75">
      <c r="A60" s="17" t="s">
        <v>42</v>
      </c>
      <c r="B60" s="17" t="s">
        <v>43</v>
      </c>
      <c r="C60" s="17" t="s">
        <v>55</v>
      </c>
      <c r="D60" s="17" t="s">
        <v>40</v>
      </c>
      <c r="E60" s="17" t="s">
        <v>47</v>
      </c>
      <c r="F60" s="17">
        <v>24002</v>
      </c>
      <c r="G60" s="17">
        <v>247</v>
      </c>
      <c r="H60" s="17">
        <v>2</v>
      </c>
      <c r="I60" s="17">
        <v>7283.06</v>
      </c>
      <c r="J60" s="17">
        <v>1953.37</v>
      </c>
      <c r="K60" s="17">
        <v>101</v>
      </c>
      <c r="L60" s="17">
        <v>9</v>
      </c>
      <c r="M60" s="17">
        <v>7</v>
      </c>
    </row>
    <row r="61" spans="1:13" ht="15.75">
      <c r="A61" s="17" t="s">
        <v>42</v>
      </c>
      <c r="B61" s="17" t="s">
        <v>38</v>
      </c>
      <c r="C61" s="17" t="s">
        <v>45</v>
      </c>
      <c r="D61" s="17" t="s">
        <v>40</v>
      </c>
      <c r="E61" s="17" t="s">
        <v>41</v>
      </c>
      <c r="F61" s="17">
        <v>55296</v>
      </c>
      <c r="G61" s="17">
        <v>459</v>
      </c>
      <c r="H61" s="17">
        <v>16</v>
      </c>
      <c r="I61" s="17">
        <v>7027.66</v>
      </c>
      <c r="J61" s="17">
        <v>9602.74</v>
      </c>
      <c r="K61" s="17">
        <v>194</v>
      </c>
      <c r="L61" s="17">
        <v>24</v>
      </c>
      <c r="M61" s="17">
        <v>14</v>
      </c>
    </row>
    <row r="62" spans="1:13" ht="15.75">
      <c r="A62" s="17" t="s">
        <v>42</v>
      </c>
      <c r="B62" s="17" t="s">
        <v>44</v>
      </c>
      <c r="C62" s="17" t="s">
        <v>54</v>
      </c>
      <c r="D62" s="17" t="s">
        <v>46</v>
      </c>
      <c r="E62" s="18" t="s">
        <v>65</v>
      </c>
      <c r="F62" s="17">
        <v>11601</v>
      </c>
      <c r="G62" s="17">
        <v>66</v>
      </c>
      <c r="H62" s="17">
        <v>1</v>
      </c>
      <c r="I62" s="17">
        <v>4250.96</v>
      </c>
      <c r="J62" s="17">
        <v>767.89</v>
      </c>
      <c r="K62" s="17">
        <v>22</v>
      </c>
      <c r="L62" s="17">
        <v>1</v>
      </c>
      <c r="M62" s="18">
        <v>0</v>
      </c>
    </row>
    <row r="63" spans="1:13" ht="15.75">
      <c r="A63" s="17" t="s">
        <v>52</v>
      </c>
      <c r="B63" s="17" t="s">
        <v>48</v>
      </c>
      <c r="C63" s="17" t="s">
        <v>39</v>
      </c>
      <c r="D63" s="17" t="s">
        <v>46</v>
      </c>
      <c r="E63" s="17" t="s">
        <v>56</v>
      </c>
      <c r="F63" s="17">
        <v>23071</v>
      </c>
      <c r="G63" s="17">
        <v>582</v>
      </c>
      <c r="H63" s="18">
        <v>0</v>
      </c>
      <c r="I63" s="17">
        <v>2237.3200000000002</v>
      </c>
      <c r="J63" s="17">
        <v>20335.84</v>
      </c>
      <c r="K63" s="18">
        <v>0</v>
      </c>
      <c r="L63" s="18">
        <v>0</v>
      </c>
      <c r="M63" s="18">
        <v>0</v>
      </c>
    </row>
    <row r="64" spans="1:13" ht="15.75">
      <c r="A64" s="17" t="s">
        <v>42</v>
      </c>
      <c r="B64" s="17" t="s">
        <v>44</v>
      </c>
      <c r="C64" s="17" t="s">
        <v>54</v>
      </c>
      <c r="D64" s="17" t="s">
        <v>46</v>
      </c>
      <c r="E64" s="17" t="s">
        <v>50</v>
      </c>
      <c r="F64" s="17">
        <v>19143</v>
      </c>
      <c r="G64" s="17">
        <v>208</v>
      </c>
      <c r="H64" s="17">
        <v>6</v>
      </c>
      <c r="I64" s="17">
        <v>3656.98</v>
      </c>
      <c r="J64" s="17">
        <v>7237.99</v>
      </c>
      <c r="K64" s="17">
        <v>97</v>
      </c>
      <c r="L64" s="17">
        <v>8</v>
      </c>
      <c r="M64" s="17">
        <v>4</v>
      </c>
    </row>
    <row r="65" spans="1:13" ht="15.75">
      <c r="A65" s="17" t="s">
        <v>52</v>
      </c>
      <c r="B65" s="17" t="s">
        <v>48</v>
      </c>
      <c r="C65" s="17" t="s">
        <v>54</v>
      </c>
      <c r="D65" s="17" t="s">
        <v>46</v>
      </c>
      <c r="E65" s="17" t="s">
        <v>56</v>
      </c>
      <c r="F65" s="18">
        <v>0</v>
      </c>
      <c r="G65" s="17">
        <v>531</v>
      </c>
      <c r="H65" s="17">
        <v>21</v>
      </c>
      <c r="I65" s="17">
        <v>5876.24</v>
      </c>
      <c r="J65" s="17">
        <v>29237.66</v>
      </c>
      <c r="K65" s="18">
        <v>0</v>
      </c>
      <c r="L65" s="18">
        <v>0</v>
      </c>
      <c r="M65" s="18">
        <v>0</v>
      </c>
    </row>
    <row r="66" spans="1:13" ht="15.75">
      <c r="A66" s="17" t="s">
        <v>37</v>
      </c>
      <c r="B66" s="17" t="s">
        <v>38</v>
      </c>
      <c r="C66" s="17" t="s">
        <v>39</v>
      </c>
      <c r="D66" s="17" t="s">
        <v>40</v>
      </c>
      <c r="E66" s="17" t="s">
        <v>47</v>
      </c>
      <c r="F66" s="17">
        <v>56979</v>
      </c>
      <c r="G66" s="17">
        <v>892</v>
      </c>
      <c r="H66" s="17">
        <v>18</v>
      </c>
      <c r="I66" s="17">
        <v>4163.74</v>
      </c>
      <c r="J66" s="17">
        <v>18483</v>
      </c>
      <c r="K66" s="17">
        <v>407</v>
      </c>
      <c r="L66" s="17">
        <v>33</v>
      </c>
      <c r="M66" s="17">
        <v>31</v>
      </c>
    </row>
    <row r="67" spans="1:13" ht="15.75">
      <c r="A67" s="17" t="s">
        <v>51</v>
      </c>
      <c r="B67" s="17" t="s">
        <v>43</v>
      </c>
      <c r="C67" s="17" t="s">
        <v>39</v>
      </c>
      <c r="D67" s="17" t="s">
        <v>46</v>
      </c>
      <c r="E67" s="17" t="s">
        <v>50</v>
      </c>
      <c r="F67" s="17">
        <v>26686</v>
      </c>
      <c r="G67" s="17">
        <v>373</v>
      </c>
      <c r="H67" s="17">
        <v>6</v>
      </c>
      <c r="I67" s="17">
        <v>5761.48</v>
      </c>
      <c r="J67" s="17">
        <v>8462.41</v>
      </c>
      <c r="K67" s="17">
        <v>154</v>
      </c>
      <c r="L67" s="17">
        <v>11</v>
      </c>
      <c r="M67" s="17">
        <v>11</v>
      </c>
    </row>
    <row r="68" spans="1:13" ht="15.75">
      <c r="A68" s="17" t="s">
        <v>51</v>
      </c>
      <c r="B68" s="17" t="s">
        <v>48</v>
      </c>
      <c r="C68" s="17" t="s">
        <v>49</v>
      </c>
      <c r="D68" s="17" t="s">
        <v>46</v>
      </c>
      <c r="E68" s="17" t="s">
        <v>50</v>
      </c>
      <c r="F68" s="17">
        <v>64884</v>
      </c>
      <c r="G68" s="17">
        <v>752</v>
      </c>
      <c r="H68" s="17">
        <v>13</v>
      </c>
      <c r="I68" s="17">
        <v>6465.44</v>
      </c>
      <c r="J68" s="17">
        <v>16986.98</v>
      </c>
      <c r="K68" s="17">
        <v>365</v>
      </c>
      <c r="L68" s="17">
        <v>33</v>
      </c>
      <c r="M68" s="17">
        <v>29</v>
      </c>
    </row>
    <row r="69" spans="1:13" ht="15.75">
      <c r="A69" s="17" t="s">
        <v>37</v>
      </c>
      <c r="B69" s="17" t="s">
        <v>38</v>
      </c>
      <c r="C69" s="17" t="s">
        <v>49</v>
      </c>
      <c r="D69" s="17" t="s">
        <v>46</v>
      </c>
      <c r="E69" s="17" t="s">
        <v>47</v>
      </c>
      <c r="F69" s="17">
        <v>17209</v>
      </c>
      <c r="G69" s="17">
        <v>226</v>
      </c>
      <c r="H69" s="17">
        <v>7</v>
      </c>
      <c r="I69" s="17">
        <v>7004.92</v>
      </c>
      <c r="J69" s="17">
        <v>4711.3500000000004</v>
      </c>
      <c r="K69" s="17">
        <v>72</v>
      </c>
      <c r="L69" s="17">
        <v>11</v>
      </c>
      <c r="M69" s="17">
        <v>6</v>
      </c>
    </row>
    <row r="70" spans="1:13" ht="15.75">
      <c r="A70" s="17" t="s">
        <v>52</v>
      </c>
      <c r="B70" s="17" t="s">
        <v>38</v>
      </c>
      <c r="C70" s="17" t="s">
        <v>55</v>
      </c>
      <c r="D70" s="17" t="s">
        <v>40</v>
      </c>
      <c r="E70" s="17" t="s">
        <v>56</v>
      </c>
      <c r="F70" s="17">
        <v>66882</v>
      </c>
      <c r="G70" s="17">
        <v>2369</v>
      </c>
      <c r="H70" s="17">
        <v>48</v>
      </c>
      <c r="I70" s="17">
        <v>5512.22</v>
      </c>
      <c r="J70" s="17">
        <v>41680.410000000003</v>
      </c>
      <c r="K70" s="18">
        <v>0</v>
      </c>
      <c r="L70" s="18">
        <v>0</v>
      </c>
      <c r="M70" s="18">
        <v>0</v>
      </c>
    </row>
    <row r="71" spans="1:13" ht="15.75">
      <c r="A71" s="17" t="s">
        <v>52</v>
      </c>
      <c r="B71" s="17" t="s">
        <v>43</v>
      </c>
      <c r="C71" s="17" t="s">
        <v>54</v>
      </c>
      <c r="D71" s="17" t="s">
        <v>40</v>
      </c>
      <c r="E71" s="17" t="s">
        <v>56</v>
      </c>
      <c r="F71" s="17">
        <v>16916</v>
      </c>
      <c r="G71" s="17">
        <v>561</v>
      </c>
      <c r="H71" s="17">
        <v>22</v>
      </c>
      <c r="I71" s="17">
        <v>5776.77</v>
      </c>
      <c r="J71" s="17">
        <v>13309.06</v>
      </c>
      <c r="K71" s="18">
        <v>0</v>
      </c>
      <c r="L71" s="18">
        <v>0</v>
      </c>
      <c r="M71" s="18">
        <v>0</v>
      </c>
    </row>
    <row r="72" spans="1:13" ht="15.75">
      <c r="A72" s="17" t="s">
        <v>42</v>
      </c>
      <c r="B72" s="17" t="s">
        <v>44</v>
      </c>
      <c r="C72" s="17" t="s">
        <v>54</v>
      </c>
      <c r="D72" s="17" t="s">
        <v>40</v>
      </c>
      <c r="E72" s="17" t="s">
        <v>50</v>
      </c>
      <c r="F72" s="17">
        <v>34346</v>
      </c>
      <c r="G72" s="17">
        <v>217</v>
      </c>
      <c r="H72" s="17">
        <v>5</v>
      </c>
      <c r="I72" s="17">
        <v>5574.42</v>
      </c>
      <c r="J72" s="17">
        <v>2508.8000000000002</v>
      </c>
      <c r="K72" s="17">
        <v>107</v>
      </c>
      <c r="L72" s="17">
        <v>11</v>
      </c>
      <c r="M72" s="17">
        <v>3</v>
      </c>
    </row>
    <row r="73" spans="1:13" ht="15.75">
      <c r="A73" s="17" t="s">
        <v>37</v>
      </c>
      <c r="B73" s="17" t="s">
        <v>44</v>
      </c>
      <c r="C73" s="17" t="s">
        <v>39</v>
      </c>
      <c r="D73" s="17" t="s">
        <v>40</v>
      </c>
      <c r="E73" s="17" t="s">
        <v>50</v>
      </c>
      <c r="F73" s="17">
        <v>19247</v>
      </c>
      <c r="G73" s="17">
        <v>265</v>
      </c>
      <c r="H73" s="17">
        <v>4</v>
      </c>
      <c r="I73" s="17">
        <v>3953.63</v>
      </c>
      <c r="J73" s="17">
        <v>5729.21</v>
      </c>
      <c r="K73" s="17">
        <v>127</v>
      </c>
      <c r="L73" s="17">
        <v>7</v>
      </c>
      <c r="M73" s="17">
        <v>5</v>
      </c>
    </row>
    <row r="74" spans="1:13" ht="15.75">
      <c r="A74" s="17" t="s">
        <v>52</v>
      </c>
      <c r="B74" s="17" t="s">
        <v>38</v>
      </c>
      <c r="C74" s="17" t="s">
        <v>45</v>
      </c>
      <c r="D74" s="17" t="s">
        <v>40</v>
      </c>
      <c r="E74" s="17" t="s">
        <v>56</v>
      </c>
      <c r="F74" s="17">
        <v>70390</v>
      </c>
      <c r="G74" s="17">
        <v>2104</v>
      </c>
      <c r="H74" s="17">
        <v>71</v>
      </c>
      <c r="I74" s="17">
        <v>8791.68</v>
      </c>
      <c r="J74" s="17">
        <v>90099.86</v>
      </c>
      <c r="K74" s="18">
        <v>0</v>
      </c>
      <c r="L74" s="18">
        <v>0</v>
      </c>
      <c r="M74" s="18">
        <v>0</v>
      </c>
    </row>
    <row r="75" spans="1:13" ht="15.75">
      <c r="A75" s="17" t="s">
        <v>37</v>
      </c>
      <c r="B75" s="17" t="s">
        <v>44</v>
      </c>
      <c r="C75" s="17" t="s">
        <v>49</v>
      </c>
      <c r="D75" s="17" t="s">
        <v>40</v>
      </c>
      <c r="E75" s="17" t="s">
        <v>47</v>
      </c>
      <c r="F75" s="17">
        <v>28453</v>
      </c>
      <c r="G75" s="17">
        <v>458</v>
      </c>
      <c r="H75" s="17">
        <v>14</v>
      </c>
      <c r="I75" s="17">
        <v>8193.0300000000007</v>
      </c>
      <c r="J75" s="17">
        <v>11303.31</v>
      </c>
      <c r="K75" s="17">
        <v>169</v>
      </c>
      <c r="L75" s="17">
        <v>13</v>
      </c>
      <c r="M75" s="17">
        <v>5</v>
      </c>
    </row>
    <row r="76" spans="1:13" ht="15.75">
      <c r="A76" s="17" t="s">
        <v>37</v>
      </c>
      <c r="B76" s="17" t="s">
        <v>44</v>
      </c>
      <c r="C76" s="17" t="s">
        <v>54</v>
      </c>
      <c r="D76" s="17" t="s">
        <v>46</v>
      </c>
      <c r="E76" s="17" t="s">
        <v>50</v>
      </c>
      <c r="F76" s="17">
        <v>10459</v>
      </c>
      <c r="G76" s="17">
        <v>174</v>
      </c>
      <c r="H76" s="17">
        <v>4</v>
      </c>
      <c r="I76" s="17">
        <v>3361.35</v>
      </c>
      <c r="J76" s="17">
        <v>4764.34</v>
      </c>
      <c r="K76" s="17">
        <v>71</v>
      </c>
      <c r="L76" s="17">
        <v>5</v>
      </c>
      <c r="M76" s="17">
        <v>4</v>
      </c>
    </row>
    <row r="77" spans="1:13" ht="15.75">
      <c r="A77" s="17" t="s">
        <v>51</v>
      </c>
      <c r="B77" s="17" t="s">
        <v>38</v>
      </c>
      <c r="C77" s="17" t="s">
        <v>54</v>
      </c>
      <c r="D77" s="17" t="s">
        <v>40</v>
      </c>
      <c r="E77" s="17" t="s">
        <v>50</v>
      </c>
      <c r="F77" s="17">
        <v>17419</v>
      </c>
      <c r="G77" s="17">
        <v>127</v>
      </c>
      <c r="H77" s="17">
        <v>1</v>
      </c>
      <c r="I77" s="17">
        <v>7630.68</v>
      </c>
      <c r="J77" s="17">
        <v>519.73</v>
      </c>
      <c r="K77" s="17">
        <v>56</v>
      </c>
      <c r="L77" s="17">
        <v>2</v>
      </c>
      <c r="M77" s="17">
        <v>2</v>
      </c>
    </row>
    <row r="78" spans="1:13" ht="15.75">
      <c r="A78" s="17" t="s">
        <v>37</v>
      </c>
      <c r="B78" s="17" t="s">
        <v>43</v>
      </c>
      <c r="C78" s="17" t="s">
        <v>49</v>
      </c>
      <c r="D78" s="17" t="s">
        <v>46</v>
      </c>
      <c r="E78" s="17" t="s">
        <v>47</v>
      </c>
      <c r="F78" s="17">
        <v>50081</v>
      </c>
      <c r="G78" s="17">
        <v>702</v>
      </c>
      <c r="H78" s="17">
        <v>15</v>
      </c>
      <c r="I78" s="17">
        <v>7824.59</v>
      </c>
      <c r="J78" s="17">
        <v>14693.23</v>
      </c>
      <c r="K78" s="17">
        <v>214</v>
      </c>
      <c r="L78" s="17">
        <v>14</v>
      </c>
      <c r="M78" s="17">
        <v>14</v>
      </c>
    </row>
    <row r="79" spans="1:13" ht="15.75">
      <c r="A79" s="17" t="s">
        <v>42</v>
      </c>
      <c r="B79" s="17" t="s">
        <v>38</v>
      </c>
      <c r="C79" s="17" t="s">
        <v>49</v>
      </c>
      <c r="D79" s="17" t="s">
        <v>46</v>
      </c>
      <c r="E79" s="17" t="s">
        <v>50</v>
      </c>
      <c r="F79" s="17">
        <v>72628</v>
      </c>
      <c r="G79" s="17">
        <v>834</v>
      </c>
      <c r="H79" s="17">
        <v>19</v>
      </c>
      <c r="I79" s="17">
        <v>2430.02</v>
      </c>
      <c r="J79" s="17">
        <v>17330.54</v>
      </c>
      <c r="K79" s="17">
        <v>256</v>
      </c>
      <c r="L79" s="17">
        <v>19</v>
      </c>
      <c r="M79" s="17">
        <v>10</v>
      </c>
    </row>
    <row r="80" spans="1:13" ht="15.75">
      <c r="A80" s="17" t="s">
        <v>51</v>
      </c>
      <c r="B80" s="17" t="s">
        <v>43</v>
      </c>
      <c r="C80" s="17" t="s">
        <v>39</v>
      </c>
      <c r="D80" s="17" t="s">
        <v>40</v>
      </c>
      <c r="E80" s="17" t="s">
        <v>50</v>
      </c>
      <c r="F80" s="17">
        <v>13641</v>
      </c>
      <c r="G80" s="17">
        <v>71</v>
      </c>
      <c r="H80" s="18">
        <v>0</v>
      </c>
      <c r="I80" s="17">
        <v>7665.57</v>
      </c>
      <c r="J80" s="18">
        <v>0</v>
      </c>
      <c r="K80" s="17">
        <v>30</v>
      </c>
      <c r="L80" s="17">
        <v>1</v>
      </c>
      <c r="M80" s="17">
        <v>1</v>
      </c>
    </row>
    <row r="81" spans="1:13" ht="15.75">
      <c r="A81" s="17" t="s">
        <v>42</v>
      </c>
      <c r="B81" s="17" t="s">
        <v>43</v>
      </c>
      <c r="C81" s="17" t="s">
        <v>54</v>
      </c>
      <c r="D81" s="17" t="s">
        <v>46</v>
      </c>
      <c r="E81" s="17" t="s">
        <v>50</v>
      </c>
      <c r="F81" s="17">
        <v>54393</v>
      </c>
      <c r="G81" s="17">
        <v>425</v>
      </c>
      <c r="H81" s="17">
        <v>10</v>
      </c>
      <c r="I81" s="17">
        <v>7890.49</v>
      </c>
      <c r="J81" s="17">
        <v>13111.38</v>
      </c>
      <c r="K81" s="17">
        <v>173</v>
      </c>
      <c r="L81" s="17">
        <v>18</v>
      </c>
      <c r="M81" s="17">
        <v>10</v>
      </c>
    </row>
    <row r="82" spans="1:13" ht="15.75">
      <c r="A82" s="17" t="s">
        <v>42</v>
      </c>
      <c r="B82" s="17" t="s">
        <v>48</v>
      </c>
      <c r="C82" s="17" t="s">
        <v>49</v>
      </c>
      <c r="D82" s="17" t="s">
        <v>46</v>
      </c>
      <c r="E82" s="17" t="s">
        <v>50</v>
      </c>
      <c r="F82" s="17">
        <v>31817</v>
      </c>
      <c r="G82" s="17">
        <v>208</v>
      </c>
      <c r="H82" s="17">
        <v>5</v>
      </c>
      <c r="I82" s="17">
        <v>6477.4</v>
      </c>
      <c r="J82" s="17">
        <v>5969.65</v>
      </c>
      <c r="K82" s="17">
        <v>74</v>
      </c>
      <c r="L82" s="17">
        <v>4</v>
      </c>
      <c r="M82" s="17">
        <v>5</v>
      </c>
    </row>
    <row r="83" spans="1:13" ht="15.75">
      <c r="A83" s="17" t="s">
        <v>42</v>
      </c>
      <c r="B83" s="17" t="s">
        <v>44</v>
      </c>
      <c r="C83" s="17" t="s">
        <v>45</v>
      </c>
      <c r="D83" s="17" t="s">
        <v>46</v>
      </c>
      <c r="E83" s="17" t="s">
        <v>50</v>
      </c>
      <c r="F83" s="17">
        <v>59759</v>
      </c>
      <c r="G83" s="17">
        <v>547</v>
      </c>
      <c r="H83" s="17">
        <v>11</v>
      </c>
      <c r="I83" s="17">
        <v>4070.73</v>
      </c>
      <c r="J83" s="17">
        <v>7644.28</v>
      </c>
      <c r="K83" s="17">
        <v>202</v>
      </c>
      <c r="L83" s="17">
        <v>13</v>
      </c>
      <c r="M83" s="17">
        <v>12</v>
      </c>
    </row>
    <row r="84" spans="1:13" ht="15.75">
      <c r="A84" s="17" t="s">
        <v>52</v>
      </c>
      <c r="B84" s="17" t="s">
        <v>38</v>
      </c>
      <c r="C84" s="17" t="s">
        <v>45</v>
      </c>
      <c r="D84" s="17" t="s">
        <v>40</v>
      </c>
      <c r="E84" s="17" t="s">
        <v>56</v>
      </c>
      <c r="F84" s="17">
        <v>69985</v>
      </c>
      <c r="G84" s="17">
        <v>2959</v>
      </c>
      <c r="H84" s="17">
        <v>104</v>
      </c>
      <c r="I84" s="17">
        <v>2649.93</v>
      </c>
      <c r="J84" s="17">
        <v>52550.21</v>
      </c>
      <c r="K84" s="18">
        <v>0</v>
      </c>
      <c r="L84" s="18">
        <v>0</v>
      </c>
      <c r="M84" s="18">
        <v>0</v>
      </c>
    </row>
    <row r="85" spans="1:13" ht="15.75">
      <c r="A85" s="17" t="s">
        <v>37</v>
      </c>
      <c r="B85" s="17" t="s">
        <v>38</v>
      </c>
      <c r="C85" s="17" t="s">
        <v>45</v>
      </c>
      <c r="D85" s="17" t="s">
        <v>46</v>
      </c>
      <c r="E85" s="17" t="s">
        <v>50</v>
      </c>
      <c r="F85" s="17">
        <v>14708</v>
      </c>
      <c r="G85" s="17">
        <v>206</v>
      </c>
      <c r="H85" s="17">
        <v>5</v>
      </c>
      <c r="I85" s="17">
        <v>2631.13</v>
      </c>
      <c r="J85" s="17">
        <v>3492.09</v>
      </c>
      <c r="K85" s="17">
        <v>100</v>
      </c>
      <c r="L85" s="17">
        <v>9</v>
      </c>
      <c r="M85" s="17">
        <v>6</v>
      </c>
    </row>
    <row r="86" spans="1:13" ht="15.75">
      <c r="A86" s="17" t="s">
        <v>52</v>
      </c>
      <c r="B86" s="17" t="s">
        <v>48</v>
      </c>
      <c r="C86" s="17" t="s">
        <v>55</v>
      </c>
      <c r="D86" s="17" t="s">
        <v>46</v>
      </c>
      <c r="E86" s="17" t="s">
        <v>53</v>
      </c>
      <c r="F86" s="17">
        <v>39026</v>
      </c>
      <c r="G86" s="17">
        <v>884</v>
      </c>
      <c r="H86" s="17">
        <v>41</v>
      </c>
      <c r="I86" s="17">
        <v>5578.51</v>
      </c>
      <c r="J86" s="17">
        <v>25143.38</v>
      </c>
      <c r="K86" s="18">
        <v>0</v>
      </c>
      <c r="L86" s="18">
        <v>0</v>
      </c>
      <c r="M86" s="18">
        <v>0</v>
      </c>
    </row>
    <row r="87" spans="1:13" ht="15.75">
      <c r="A87" s="17" t="s">
        <v>42</v>
      </c>
      <c r="B87" s="18" t="s">
        <v>67</v>
      </c>
      <c r="C87" s="17" t="s">
        <v>54</v>
      </c>
      <c r="D87" s="17" t="s">
        <v>46</v>
      </c>
      <c r="E87" s="17" t="s">
        <v>47</v>
      </c>
      <c r="F87" s="17">
        <v>58009</v>
      </c>
      <c r="G87" s="17">
        <v>366</v>
      </c>
      <c r="H87" s="17">
        <v>6</v>
      </c>
      <c r="I87" s="17">
        <v>8333.7000000000007</v>
      </c>
      <c r="J87" s="17">
        <v>4533.9799999999996</v>
      </c>
      <c r="K87" s="17">
        <v>116</v>
      </c>
      <c r="L87" s="17">
        <v>13</v>
      </c>
      <c r="M87" s="17">
        <v>11</v>
      </c>
    </row>
    <row r="88" spans="1:13" ht="15.75">
      <c r="A88" s="17" t="s">
        <v>42</v>
      </c>
      <c r="B88" s="17" t="s">
        <v>43</v>
      </c>
      <c r="C88" s="17" t="s">
        <v>39</v>
      </c>
      <c r="D88" s="17" t="s">
        <v>40</v>
      </c>
      <c r="E88" s="17" t="s">
        <v>47</v>
      </c>
      <c r="F88" s="17">
        <v>62388</v>
      </c>
      <c r="G88" s="17">
        <v>424</v>
      </c>
      <c r="H88" s="17">
        <v>7</v>
      </c>
      <c r="I88" s="17">
        <v>6537.47</v>
      </c>
      <c r="J88" s="17">
        <v>6970.71</v>
      </c>
      <c r="K88" s="17">
        <v>200</v>
      </c>
      <c r="L88" s="17">
        <v>19</v>
      </c>
      <c r="M88" s="17">
        <v>13</v>
      </c>
    </row>
    <row r="89" spans="1:13" ht="15.75">
      <c r="A89" s="17" t="s">
        <v>52</v>
      </c>
      <c r="B89" s="17" t="s">
        <v>43</v>
      </c>
      <c r="C89" s="17" t="s">
        <v>49</v>
      </c>
      <c r="D89" s="17" t="s">
        <v>46</v>
      </c>
      <c r="E89" s="17" t="s">
        <v>53</v>
      </c>
      <c r="F89" s="17">
        <v>77582</v>
      </c>
      <c r="G89" s="17">
        <v>3179</v>
      </c>
      <c r="H89" s="17">
        <v>88</v>
      </c>
      <c r="I89" s="17">
        <v>5059.8599999999997</v>
      </c>
      <c r="J89" s="17">
        <v>76768.429999999993</v>
      </c>
      <c r="K89" s="18">
        <v>0</v>
      </c>
      <c r="L89" s="18">
        <v>0</v>
      </c>
      <c r="M89" s="18">
        <v>0</v>
      </c>
    </row>
    <row r="90" spans="1:13" ht="15.75">
      <c r="A90" s="17" t="s">
        <v>42</v>
      </c>
      <c r="B90" s="17" t="s">
        <v>43</v>
      </c>
      <c r="C90" s="17" t="s">
        <v>39</v>
      </c>
      <c r="D90" s="17" t="s">
        <v>46</v>
      </c>
      <c r="E90" s="17" t="s">
        <v>47</v>
      </c>
      <c r="F90" s="17">
        <v>27064</v>
      </c>
      <c r="G90" s="17">
        <v>256</v>
      </c>
      <c r="H90" s="17">
        <v>4</v>
      </c>
      <c r="I90" s="17">
        <v>5868.19</v>
      </c>
      <c r="J90" s="17">
        <v>3123.69</v>
      </c>
      <c r="K90" s="17">
        <v>114</v>
      </c>
      <c r="L90" s="17">
        <v>8</v>
      </c>
      <c r="M90" s="17">
        <v>8</v>
      </c>
    </row>
    <row r="91" spans="1:13" ht="15.75">
      <c r="A91" s="17" t="s">
        <v>37</v>
      </c>
      <c r="B91" s="17" t="s">
        <v>43</v>
      </c>
      <c r="C91" s="17" t="s">
        <v>39</v>
      </c>
      <c r="D91" s="17" t="s">
        <v>40</v>
      </c>
      <c r="E91" s="17" t="s">
        <v>47</v>
      </c>
      <c r="F91" s="17">
        <v>11543</v>
      </c>
      <c r="G91" s="17">
        <v>116</v>
      </c>
      <c r="H91" s="18">
        <v>0</v>
      </c>
      <c r="I91" s="17">
        <v>3584.52</v>
      </c>
      <c r="J91" s="17">
        <v>2097.7600000000002</v>
      </c>
      <c r="K91" s="17">
        <v>39</v>
      </c>
      <c r="L91" s="17">
        <v>5</v>
      </c>
      <c r="M91" s="17">
        <v>2</v>
      </c>
    </row>
    <row r="92" spans="1:13" ht="15.75">
      <c r="A92" s="17" t="s">
        <v>42</v>
      </c>
      <c r="B92" s="17" t="s">
        <v>48</v>
      </c>
      <c r="C92" s="17" t="s">
        <v>49</v>
      </c>
      <c r="D92" s="17" t="s">
        <v>46</v>
      </c>
      <c r="E92" s="17" t="s">
        <v>50</v>
      </c>
      <c r="F92" s="17">
        <v>37236</v>
      </c>
      <c r="G92" s="17">
        <v>258</v>
      </c>
      <c r="H92" s="17">
        <v>6</v>
      </c>
      <c r="I92" s="17">
        <v>6475.38</v>
      </c>
      <c r="J92" s="17">
        <v>7341.8</v>
      </c>
      <c r="K92" s="17">
        <v>87</v>
      </c>
      <c r="L92" s="17">
        <v>13</v>
      </c>
      <c r="M92" s="17">
        <v>4</v>
      </c>
    </row>
    <row r="93" spans="1:13" ht="15.75">
      <c r="A93" s="17" t="s">
        <v>52</v>
      </c>
      <c r="B93" s="17" t="s">
        <v>43</v>
      </c>
      <c r="C93" s="17" t="s">
        <v>45</v>
      </c>
      <c r="D93" s="17" t="s">
        <v>40</v>
      </c>
      <c r="E93" s="17" t="s">
        <v>53</v>
      </c>
      <c r="F93" s="17">
        <v>17805</v>
      </c>
      <c r="G93" s="17">
        <v>274</v>
      </c>
      <c r="H93" s="17">
        <v>10</v>
      </c>
      <c r="I93" s="17">
        <v>8729.1</v>
      </c>
      <c r="J93" s="17">
        <v>7127.27</v>
      </c>
      <c r="K93" s="18">
        <v>0</v>
      </c>
      <c r="L93" s="18">
        <v>0</v>
      </c>
      <c r="M93" s="18">
        <v>0</v>
      </c>
    </row>
    <row r="94" spans="1:13" ht="15.75">
      <c r="A94" s="17" t="s">
        <v>42</v>
      </c>
      <c r="B94" s="17" t="s">
        <v>38</v>
      </c>
      <c r="C94" s="17" t="s">
        <v>39</v>
      </c>
      <c r="D94" s="17" t="s">
        <v>40</v>
      </c>
      <c r="E94" s="17" t="s">
        <v>50</v>
      </c>
      <c r="F94" s="17">
        <v>52673</v>
      </c>
      <c r="G94" s="17">
        <v>270</v>
      </c>
      <c r="H94" s="17">
        <v>7</v>
      </c>
      <c r="I94" s="17">
        <v>6395.92</v>
      </c>
      <c r="J94" s="17">
        <v>9214.57</v>
      </c>
      <c r="K94" s="17">
        <v>103</v>
      </c>
      <c r="L94" s="17">
        <v>14</v>
      </c>
      <c r="M94" s="17">
        <v>4</v>
      </c>
    </row>
    <row r="95" spans="1:13" ht="15.75">
      <c r="A95" s="17" t="s">
        <v>51</v>
      </c>
      <c r="B95" s="17" t="s">
        <v>44</v>
      </c>
      <c r="C95" s="17" t="s">
        <v>54</v>
      </c>
      <c r="D95" s="17" t="s">
        <v>46</v>
      </c>
      <c r="E95" s="17" t="s">
        <v>50</v>
      </c>
      <c r="F95" s="17">
        <v>70199</v>
      </c>
      <c r="G95" s="17">
        <v>671</v>
      </c>
      <c r="H95" s="17">
        <v>15</v>
      </c>
      <c r="I95" s="17">
        <v>8883.98</v>
      </c>
      <c r="J95" s="17">
        <v>12530.77</v>
      </c>
      <c r="K95" s="17">
        <v>205</v>
      </c>
      <c r="L95" s="17">
        <v>40</v>
      </c>
      <c r="M95" s="17">
        <v>20</v>
      </c>
    </row>
    <row r="96" spans="1:13" ht="15.75">
      <c r="A96" s="17" t="s">
        <v>52</v>
      </c>
      <c r="B96" s="17" t="s">
        <v>38</v>
      </c>
      <c r="C96" s="17" t="s">
        <v>55</v>
      </c>
      <c r="D96" s="17" t="s">
        <v>40</v>
      </c>
      <c r="E96" s="17" t="s">
        <v>53</v>
      </c>
      <c r="F96" s="18">
        <v>0</v>
      </c>
      <c r="G96" s="17">
        <v>560</v>
      </c>
      <c r="H96" s="17">
        <v>21</v>
      </c>
      <c r="I96" s="17">
        <v>3324.11</v>
      </c>
      <c r="J96" s="17">
        <v>17009.11</v>
      </c>
      <c r="K96" s="18">
        <v>0</v>
      </c>
      <c r="L96" s="18">
        <v>0</v>
      </c>
      <c r="M96" s="18">
        <v>0</v>
      </c>
    </row>
    <row r="97" spans="1:13" ht="15.75">
      <c r="A97" s="17" t="s">
        <v>42</v>
      </c>
      <c r="B97" s="17" t="s">
        <v>38</v>
      </c>
      <c r="C97" s="17" t="s">
        <v>49</v>
      </c>
      <c r="D97" s="17" t="s">
        <v>46</v>
      </c>
      <c r="E97" s="17" t="s">
        <v>50</v>
      </c>
      <c r="F97" s="17">
        <v>10925</v>
      </c>
      <c r="G97" s="17">
        <v>87</v>
      </c>
      <c r="H97" s="17">
        <v>2</v>
      </c>
      <c r="I97" s="17">
        <v>4155.63</v>
      </c>
      <c r="J97" s="17">
        <v>1302.97</v>
      </c>
      <c r="K97" s="17">
        <v>37</v>
      </c>
      <c r="L97" s="17">
        <v>1</v>
      </c>
      <c r="M97" s="17">
        <v>2</v>
      </c>
    </row>
    <row r="98" spans="1:13" ht="15.75">
      <c r="A98" s="17" t="s">
        <v>51</v>
      </c>
      <c r="B98" s="17" t="s">
        <v>48</v>
      </c>
      <c r="C98" s="17" t="s">
        <v>54</v>
      </c>
      <c r="D98" s="17" t="s">
        <v>40</v>
      </c>
      <c r="E98" s="17" t="s">
        <v>50</v>
      </c>
      <c r="F98" s="17">
        <v>25192</v>
      </c>
      <c r="G98" s="17">
        <v>189</v>
      </c>
      <c r="H98" s="17">
        <v>2</v>
      </c>
      <c r="I98" s="17">
        <v>8228.1299999999992</v>
      </c>
      <c r="J98" s="17">
        <v>1316.47</v>
      </c>
      <c r="K98" s="17">
        <v>67</v>
      </c>
      <c r="L98" s="17">
        <v>7</v>
      </c>
      <c r="M98" s="17">
        <v>3</v>
      </c>
    </row>
    <row r="99" spans="1:13" ht="15.75">
      <c r="A99" s="17" t="s">
        <v>42</v>
      </c>
      <c r="B99" s="17" t="s">
        <v>38</v>
      </c>
      <c r="C99" s="17" t="s">
        <v>39</v>
      </c>
      <c r="D99" s="17" t="s">
        <v>46</v>
      </c>
      <c r="E99" s="17" t="s">
        <v>50</v>
      </c>
      <c r="F99" s="18">
        <v>0</v>
      </c>
      <c r="G99" s="17">
        <v>369</v>
      </c>
      <c r="H99" s="17">
        <v>5</v>
      </c>
      <c r="I99" s="17">
        <v>4568.63</v>
      </c>
      <c r="J99" s="17">
        <v>4016.84</v>
      </c>
      <c r="K99" s="17">
        <v>133</v>
      </c>
      <c r="L99" s="17">
        <v>11</v>
      </c>
      <c r="M99" s="17">
        <v>13</v>
      </c>
    </row>
    <row r="100" spans="1:13" ht="15.75">
      <c r="A100" s="17" t="s">
        <v>42</v>
      </c>
      <c r="B100" s="17" t="s">
        <v>48</v>
      </c>
      <c r="C100" s="17" t="s">
        <v>54</v>
      </c>
      <c r="D100" s="17" t="s">
        <v>40</v>
      </c>
      <c r="E100" s="17" t="s">
        <v>41</v>
      </c>
      <c r="F100" s="17">
        <v>49157</v>
      </c>
      <c r="G100" s="17">
        <v>407</v>
      </c>
      <c r="H100" s="17">
        <v>11</v>
      </c>
      <c r="I100" s="17">
        <v>8768.82</v>
      </c>
      <c r="J100" s="17">
        <v>12631.07</v>
      </c>
      <c r="K100" s="17">
        <v>147</v>
      </c>
      <c r="L100" s="17">
        <v>21</v>
      </c>
      <c r="M100" s="17">
        <v>13</v>
      </c>
    </row>
    <row r="101" spans="1:13" ht="15.75">
      <c r="A101" s="17" t="s">
        <v>52</v>
      </c>
      <c r="B101" s="17" t="s">
        <v>48</v>
      </c>
      <c r="C101" s="17" t="s">
        <v>39</v>
      </c>
      <c r="D101" s="17" t="s">
        <v>46</v>
      </c>
      <c r="E101" s="17" t="s">
        <v>56</v>
      </c>
      <c r="F101" s="17">
        <v>75475</v>
      </c>
      <c r="G101" s="17">
        <v>2162</v>
      </c>
      <c r="H101" s="17">
        <v>73</v>
      </c>
      <c r="I101" s="18">
        <v>0</v>
      </c>
      <c r="J101" s="17">
        <v>93407.32</v>
      </c>
      <c r="K101" s="18">
        <v>0</v>
      </c>
      <c r="L101" s="18">
        <v>0</v>
      </c>
      <c r="M101" s="18">
        <v>0</v>
      </c>
    </row>
    <row r="102" spans="1:13" ht="15.75">
      <c r="A102" s="17" t="s">
        <v>42</v>
      </c>
      <c r="B102" s="17" t="s">
        <v>48</v>
      </c>
      <c r="C102" s="17" t="s">
        <v>39</v>
      </c>
      <c r="D102" s="17" t="s">
        <v>40</v>
      </c>
      <c r="E102" s="17" t="s">
        <v>41</v>
      </c>
      <c r="F102" s="17">
        <v>13040</v>
      </c>
      <c r="G102" s="17">
        <v>92</v>
      </c>
      <c r="H102" s="17">
        <v>1</v>
      </c>
      <c r="I102" s="17">
        <v>8195.56</v>
      </c>
      <c r="J102" s="17">
        <v>661.25</v>
      </c>
      <c r="K102" s="17">
        <v>39</v>
      </c>
      <c r="L102" s="17">
        <v>4</v>
      </c>
      <c r="M102" s="17">
        <v>1</v>
      </c>
    </row>
    <row r="103" spans="1:13" ht="15.75">
      <c r="A103" s="17" t="s">
        <v>51</v>
      </c>
      <c r="B103" s="17" t="s">
        <v>43</v>
      </c>
      <c r="C103" s="17" t="s">
        <v>39</v>
      </c>
      <c r="D103" s="17" t="s">
        <v>40</v>
      </c>
      <c r="E103" s="17" t="s">
        <v>50</v>
      </c>
      <c r="F103" s="17">
        <v>39235</v>
      </c>
      <c r="G103" s="17">
        <v>392</v>
      </c>
      <c r="H103" s="17">
        <v>7</v>
      </c>
      <c r="I103" s="17">
        <v>7640.02</v>
      </c>
      <c r="J103" s="17">
        <v>8400.59</v>
      </c>
      <c r="K103" s="17">
        <v>123</v>
      </c>
      <c r="L103" s="17">
        <v>21</v>
      </c>
      <c r="M103" s="17">
        <v>13</v>
      </c>
    </row>
    <row r="104" spans="1:13" ht="15.75">
      <c r="A104" s="17" t="s">
        <v>51</v>
      </c>
      <c r="B104" s="17" t="s">
        <v>38</v>
      </c>
      <c r="C104" s="17" t="s">
        <v>54</v>
      </c>
      <c r="D104" s="17" t="s">
        <v>46</v>
      </c>
      <c r="E104" s="17" t="s">
        <v>50</v>
      </c>
      <c r="F104" s="17">
        <v>17652</v>
      </c>
      <c r="G104" s="17">
        <v>172</v>
      </c>
      <c r="H104" s="17">
        <v>3</v>
      </c>
      <c r="I104" s="17">
        <v>4513.43</v>
      </c>
      <c r="J104" s="17">
        <v>1548.63</v>
      </c>
      <c r="K104" s="17">
        <v>52</v>
      </c>
      <c r="L104" s="17">
        <v>7</v>
      </c>
      <c r="M104" s="17">
        <v>4</v>
      </c>
    </row>
    <row r="105" spans="1:13" ht="15.75">
      <c r="A105" s="17" t="s">
        <v>52</v>
      </c>
      <c r="B105" s="17" t="s">
        <v>43</v>
      </c>
      <c r="C105" s="17" t="s">
        <v>39</v>
      </c>
      <c r="D105" s="17" t="s">
        <v>40</v>
      </c>
      <c r="E105" s="17" t="s">
        <v>56</v>
      </c>
      <c r="F105" s="17">
        <v>13724</v>
      </c>
      <c r="G105" s="17">
        <v>254</v>
      </c>
      <c r="H105" s="17">
        <v>3</v>
      </c>
      <c r="I105" s="17">
        <v>2179.9</v>
      </c>
      <c r="J105" s="17">
        <v>2716.21</v>
      </c>
      <c r="K105" s="18">
        <v>0</v>
      </c>
      <c r="L105" s="18">
        <v>0</v>
      </c>
      <c r="M105" s="18">
        <v>0</v>
      </c>
    </row>
    <row r="106" spans="1:13" ht="15.75">
      <c r="A106" s="17" t="s">
        <v>52</v>
      </c>
      <c r="B106" s="17" t="s">
        <v>43</v>
      </c>
      <c r="C106" s="17" t="s">
        <v>39</v>
      </c>
      <c r="D106" s="17" t="s">
        <v>40</v>
      </c>
      <c r="E106" s="17" t="s">
        <v>56</v>
      </c>
      <c r="F106" s="17">
        <v>14667</v>
      </c>
      <c r="G106" s="17">
        <v>383</v>
      </c>
      <c r="H106" s="17">
        <v>8</v>
      </c>
      <c r="I106" s="17">
        <v>8986.5400000000009</v>
      </c>
      <c r="J106" s="17">
        <v>6161.86</v>
      </c>
      <c r="K106" s="18">
        <v>0</v>
      </c>
      <c r="L106" s="18">
        <v>0</v>
      </c>
      <c r="M106" s="18">
        <v>0</v>
      </c>
    </row>
    <row r="107" spans="1:13" ht="15.75">
      <c r="A107" s="17" t="s">
        <v>37</v>
      </c>
      <c r="B107" s="17" t="s">
        <v>44</v>
      </c>
      <c r="C107" s="17" t="s">
        <v>49</v>
      </c>
      <c r="D107" s="17" t="s">
        <v>40</v>
      </c>
      <c r="E107" s="17" t="s">
        <v>50</v>
      </c>
      <c r="F107" s="17">
        <v>12903</v>
      </c>
      <c r="G107" s="18">
        <v>0</v>
      </c>
      <c r="H107" s="17">
        <v>8</v>
      </c>
      <c r="I107" s="17">
        <v>8782.74</v>
      </c>
      <c r="J107" s="17">
        <v>9199.49</v>
      </c>
      <c r="K107" s="17">
        <v>121</v>
      </c>
      <c r="L107" s="17">
        <v>14</v>
      </c>
      <c r="M107" s="17">
        <v>4</v>
      </c>
    </row>
    <row r="108" spans="1:13" ht="15.75">
      <c r="A108" s="17" t="s">
        <v>42</v>
      </c>
      <c r="B108" s="17" t="s">
        <v>43</v>
      </c>
      <c r="C108" s="17" t="s">
        <v>45</v>
      </c>
      <c r="D108" s="17" t="s">
        <v>40</v>
      </c>
      <c r="E108" s="17" t="s">
        <v>47</v>
      </c>
      <c r="F108" s="17">
        <v>43530</v>
      </c>
      <c r="G108" s="17">
        <v>226</v>
      </c>
      <c r="H108" s="17">
        <v>5</v>
      </c>
      <c r="I108" s="17">
        <v>3595.96</v>
      </c>
      <c r="J108" s="17">
        <v>6154.93</v>
      </c>
      <c r="K108" s="17">
        <v>97</v>
      </c>
      <c r="L108" s="17">
        <v>6</v>
      </c>
      <c r="M108" s="17">
        <v>3</v>
      </c>
    </row>
    <row r="109" spans="1:13" ht="15.75">
      <c r="A109" s="17" t="s">
        <v>37</v>
      </c>
      <c r="B109" s="17" t="s">
        <v>48</v>
      </c>
      <c r="C109" s="17" t="s">
        <v>49</v>
      </c>
      <c r="D109" s="17" t="s">
        <v>46</v>
      </c>
      <c r="E109" s="17" t="s">
        <v>47</v>
      </c>
      <c r="F109" s="17">
        <v>48856</v>
      </c>
      <c r="G109" s="17">
        <v>927</v>
      </c>
      <c r="H109" s="17">
        <v>10</v>
      </c>
      <c r="I109" s="17">
        <v>4189.43</v>
      </c>
      <c r="J109" s="17">
        <v>12592.39</v>
      </c>
      <c r="K109" s="17">
        <v>337</v>
      </c>
      <c r="L109" s="17">
        <v>37</v>
      </c>
      <c r="M109" s="17">
        <v>25</v>
      </c>
    </row>
    <row r="110" spans="1:13" ht="15.75">
      <c r="A110" s="17" t="s">
        <v>51</v>
      </c>
      <c r="B110" s="17" t="s">
        <v>44</v>
      </c>
      <c r="C110" s="17" t="s">
        <v>45</v>
      </c>
      <c r="D110" s="17" t="s">
        <v>40</v>
      </c>
      <c r="E110" s="17" t="s">
        <v>50</v>
      </c>
      <c r="F110" s="17">
        <v>66295</v>
      </c>
      <c r="G110" s="17">
        <v>591</v>
      </c>
      <c r="H110" s="17">
        <v>16</v>
      </c>
      <c r="I110" s="17">
        <v>3866.21</v>
      </c>
      <c r="J110" s="17">
        <v>18403.7</v>
      </c>
      <c r="K110" s="17">
        <v>236</v>
      </c>
      <c r="L110" s="17">
        <v>22</v>
      </c>
      <c r="M110" s="17">
        <v>18</v>
      </c>
    </row>
    <row r="111" spans="1:13" ht="15.75">
      <c r="A111" s="17" t="s">
        <v>37</v>
      </c>
      <c r="B111" s="17" t="s">
        <v>44</v>
      </c>
      <c r="C111" s="17" t="s">
        <v>55</v>
      </c>
      <c r="D111" s="17" t="s">
        <v>40</v>
      </c>
      <c r="E111" s="17" t="s">
        <v>41</v>
      </c>
      <c r="F111" s="18">
        <v>0</v>
      </c>
      <c r="G111" s="17">
        <v>1075</v>
      </c>
      <c r="H111" s="17">
        <v>20</v>
      </c>
      <c r="I111" s="17">
        <v>2086.5300000000002</v>
      </c>
      <c r="J111" s="17">
        <v>26272.43</v>
      </c>
      <c r="K111" s="17">
        <v>443</v>
      </c>
      <c r="L111" s="17">
        <v>47</v>
      </c>
      <c r="M111" s="17">
        <v>17</v>
      </c>
    </row>
    <row r="112" spans="1:13" ht="15.75">
      <c r="A112" s="17" t="s">
        <v>42</v>
      </c>
      <c r="B112" s="17" t="s">
        <v>43</v>
      </c>
      <c r="C112" s="17" t="s">
        <v>39</v>
      </c>
      <c r="D112" s="17" t="s">
        <v>40</v>
      </c>
      <c r="E112" s="17" t="s">
        <v>47</v>
      </c>
      <c r="F112" s="17">
        <v>35034</v>
      </c>
      <c r="G112" s="17">
        <v>376</v>
      </c>
      <c r="H112" s="17">
        <v>5</v>
      </c>
      <c r="I112" s="17">
        <v>8436.7900000000009</v>
      </c>
      <c r="J112" s="17">
        <v>4376.05</v>
      </c>
      <c r="K112" s="17">
        <v>128</v>
      </c>
      <c r="L112" s="17">
        <v>19</v>
      </c>
      <c r="M112" s="17">
        <v>5</v>
      </c>
    </row>
    <row r="113" spans="1:13" ht="15.75">
      <c r="A113" s="17" t="s">
        <v>51</v>
      </c>
      <c r="B113" s="17" t="s">
        <v>48</v>
      </c>
      <c r="C113" s="17" t="s">
        <v>45</v>
      </c>
      <c r="D113" s="17" t="s">
        <v>46</v>
      </c>
      <c r="E113" s="17" t="s">
        <v>50</v>
      </c>
      <c r="F113" s="17">
        <v>15530</v>
      </c>
      <c r="G113" s="17">
        <v>185</v>
      </c>
      <c r="H113" s="18">
        <v>0</v>
      </c>
      <c r="I113" s="18">
        <v>0</v>
      </c>
      <c r="J113" s="17">
        <v>3149.11</v>
      </c>
      <c r="K113" s="17">
        <v>74</v>
      </c>
      <c r="L113" s="17">
        <v>10</v>
      </c>
      <c r="M113" s="17">
        <v>5</v>
      </c>
    </row>
    <row r="114" spans="1:13" ht="15.75">
      <c r="A114" s="17" t="s">
        <v>52</v>
      </c>
      <c r="B114" s="17" t="s">
        <v>48</v>
      </c>
      <c r="C114" s="17" t="s">
        <v>49</v>
      </c>
      <c r="D114" s="17" t="s">
        <v>40</v>
      </c>
      <c r="E114" s="17" t="s">
        <v>53</v>
      </c>
      <c r="F114" s="17">
        <v>25738</v>
      </c>
      <c r="G114" s="17">
        <v>852</v>
      </c>
      <c r="H114" s="17">
        <v>34</v>
      </c>
      <c r="I114" s="17">
        <v>4304.62</v>
      </c>
      <c r="J114" s="17">
        <v>39599.11</v>
      </c>
      <c r="K114" s="18">
        <v>0</v>
      </c>
      <c r="L114" s="18">
        <v>0</v>
      </c>
      <c r="M114" s="18">
        <v>0</v>
      </c>
    </row>
    <row r="115" spans="1:13" ht="15.75">
      <c r="A115" s="17" t="s">
        <v>42</v>
      </c>
      <c r="B115" s="17" t="s">
        <v>38</v>
      </c>
      <c r="C115" s="17" t="s">
        <v>49</v>
      </c>
      <c r="D115" s="17" t="s">
        <v>46</v>
      </c>
      <c r="E115" s="17" t="s">
        <v>41</v>
      </c>
      <c r="F115" s="17">
        <v>74410</v>
      </c>
      <c r="G115" s="17">
        <v>722</v>
      </c>
      <c r="H115" s="17">
        <v>18</v>
      </c>
      <c r="I115" s="17">
        <v>6028.89</v>
      </c>
      <c r="J115" s="17">
        <v>17674.2</v>
      </c>
      <c r="K115" s="17">
        <v>318</v>
      </c>
      <c r="L115" s="17">
        <v>32</v>
      </c>
      <c r="M115" s="17">
        <v>7</v>
      </c>
    </row>
    <row r="116" spans="1:13" ht="15.75">
      <c r="A116" s="17" t="s">
        <v>37</v>
      </c>
      <c r="B116" s="17" t="s">
        <v>38</v>
      </c>
      <c r="C116" s="17" t="s">
        <v>54</v>
      </c>
      <c r="D116" s="17" t="s">
        <v>40</v>
      </c>
      <c r="E116" s="17" t="s">
        <v>50</v>
      </c>
      <c r="F116" s="17">
        <v>21317</v>
      </c>
      <c r="G116" s="17">
        <v>240</v>
      </c>
      <c r="H116" s="17">
        <v>8</v>
      </c>
      <c r="I116" s="17">
        <v>7621.52</v>
      </c>
      <c r="J116" s="17">
        <v>8690.57</v>
      </c>
      <c r="K116" s="17">
        <v>83</v>
      </c>
      <c r="L116" s="17">
        <v>14</v>
      </c>
      <c r="M116" s="17">
        <v>6</v>
      </c>
    </row>
    <row r="117" spans="1:13" ht="15.75">
      <c r="A117" s="17" t="s">
        <v>52</v>
      </c>
      <c r="B117" s="17" t="s">
        <v>48</v>
      </c>
      <c r="C117" s="17" t="s">
        <v>49</v>
      </c>
      <c r="D117" s="17" t="s">
        <v>46</v>
      </c>
      <c r="E117" s="17" t="s">
        <v>53</v>
      </c>
      <c r="F117" s="17">
        <v>35004</v>
      </c>
      <c r="G117" s="17">
        <v>1356</v>
      </c>
      <c r="H117" s="17">
        <v>29</v>
      </c>
      <c r="I117" s="17">
        <v>3393.55</v>
      </c>
      <c r="J117" s="17">
        <v>41558.75</v>
      </c>
      <c r="K117" s="18">
        <v>0</v>
      </c>
      <c r="L117" s="18">
        <v>0</v>
      </c>
      <c r="M117" s="18">
        <v>0</v>
      </c>
    </row>
    <row r="118" spans="1:13" ht="15.75">
      <c r="A118" s="17" t="s">
        <v>42</v>
      </c>
      <c r="B118" s="17" t="s">
        <v>43</v>
      </c>
      <c r="C118" s="17" t="s">
        <v>49</v>
      </c>
      <c r="D118" s="17" t="s">
        <v>40</v>
      </c>
      <c r="E118" s="17" t="s">
        <v>50</v>
      </c>
      <c r="F118" s="17">
        <v>40312</v>
      </c>
      <c r="G118" s="17">
        <v>296</v>
      </c>
      <c r="H118" s="17">
        <v>11</v>
      </c>
      <c r="I118" s="17">
        <v>5913.53</v>
      </c>
      <c r="J118" s="17">
        <v>16443.13</v>
      </c>
      <c r="K118" s="17">
        <v>144</v>
      </c>
      <c r="L118" s="17">
        <v>6</v>
      </c>
      <c r="M118" s="17">
        <v>6</v>
      </c>
    </row>
    <row r="119" spans="1:13" ht="15.75">
      <c r="A119" s="17" t="s">
        <v>51</v>
      </c>
      <c r="B119" s="17" t="s">
        <v>38</v>
      </c>
      <c r="C119" s="17" t="s">
        <v>39</v>
      </c>
      <c r="D119" s="17" t="s">
        <v>46</v>
      </c>
      <c r="E119" s="17" t="s">
        <v>50</v>
      </c>
      <c r="F119" s="17">
        <v>78542</v>
      </c>
      <c r="G119" s="17">
        <v>671</v>
      </c>
      <c r="H119" s="17">
        <v>9</v>
      </c>
      <c r="I119" s="17">
        <v>4379.83</v>
      </c>
      <c r="J119" s="17">
        <v>10955.25</v>
      </c>
      <c r="K119" s="17">
        <v>266</v>
      </c>
      <c r="L119" s="17">
        <v>21</v>
      </c>
      <c r="M119" s="17">
        <v>25</v>
      </c>
    </row>
    <row r="120" spans="1:13" ht="15.75">
      <c r="A120" s="17" t="s">
        <v>52</v>
      </c>
      <c r="B120" s="17" t="s">
        <v>38</v>
      </c>
      <c r="C120" s="17" t="s">
        <v>49</v>
      </c>
      <c r="D120" s="17" t="s">
        <v>46</v>
      </c>
      <c r="E120" s="17" t="s">
        <v>53</v>
      </c>
      <c r="F120" s="17">
        <v>75858</v>
      </c>
      <c r="G120" s="17">
        <v>2684</v>
      </c>
      <c r="H120" s="17">
        <v>75</v>
      </c>
      <c r="I120" s="17">
        <v>6870.28</v>
      </c>
      <c r="J120" s="17">
        <v>112397.93</v>
      </c>
      <c r="K120" s="18">
        <v>0</v>
      </c>
      <c r="L120" s="18">
        <v>0</v>
      </c>
      <c r="M120" s="18">
        <v>0</v>
      </c>
    </row>
    <row r="121" spans="1:13" ht="15.75">
      <c r="A121" s="17" t="s">
        <v>52</v>
      </c>
      <c r="B121" s="17" t="s">
        <v>48</v>
      </c>
      <c r="C121" s="17" t="s">
        <v>54</v>
      </c>
      <c r="D121" s="17" t="s">
        <v>40</v>
      </c>
      <c r="E121" s="17" t="s">
        <v>53</v>
      </c>
      <c r="F121" s="17">
        <v>32998</v>
      </c>
      <c r="G121" s="17">
        <v>1323</v>
      </c>
      <c r="H121" s="17">
        <v>44</v>
      </c>
      <c r="I121" s="17">
        <v>6930.1</v>
      </c>
      <c r="J121" s="17">
        <v>45430.27</v>
      </c>
      <c r="K121" s="18">
        <v>0</v>
      </c>
      <c r="L121" s="18">
        <v>0</v>
      </c>
      <c r="M121" s="18">
        <v>0</v>
      </c>
    </row>
    <row r="122" spans="1:13" ht="15.75">
      <c r="A122" s="17" t="s">
        <v>42</v>
      </c>
      <c r="B122" s="17" t="s">
        <v>48</v>
      </c>
      <c r="C122" s="17" t="s">
        <v>49</v>
      </c>
      <c r="D122" s="17" t="s">
        <v>40</v>
      </c>
      <c r="E122" s="17" t="s">
        <v>50</v>
      </c>
      <c r="F122" s="17">
        <v>76583</v>
      </c>
      <c r="G122" s="17">
        <v>394</v>
      </c>
      <c r="H122" s="17">
        <v>9</v>
      </c>
      <c r="I122" s="17">
        <v>6022.43</v>
      </c>
      <c r="J122" s="17">
        <v>8958.19</v>
      </c>
      <c r="K122" s="17">
        <v>152</v>
      </c>
      <c r="L122" s="17">
        <v>13</v>
      </c>
      <c r="M122" s="17">
        <v>11</v>
      </c>
    </row>
    <row r="123" spans="1:13" ht="15.75">
      <c r="A123" s="17" t="s">
        <v>37</v>
      </c>
      <c r="B123" s="17" t="s">
        <v>38</v>
      </c>
      <c r="C123" s="17" t="s">
        <v>39</v>
      </c>
      <c r="D123" s="17" t="s">
        <v>46</v>
      </c>
      <c r="E123" s="17" t="s">
        <v>47</v>
      </c>
      <c r="F123" s="17">
        <v>24288</v>
      </c>
      <c r="G123" s="17">
        <v>326</v>
      </c>
      <c r="H123" s="17">
        <v>9</v>
      </c>
      <c r="I123" s="17">
        <v>2662.8</v>
      </c>
      <c r="J123" s="17">
        <v>13388.18</v>
      </c>
      <c r="K123" s="17">
        <v>144</v>
      </c>
      <c r="L123" s="17">
        <v>18</v>
      </c>
      <c r="M123" s="17">
        <v>6</v>
      </c>
    </row>
    <row r="124" spans="1:13" ht="15.75">
      <c r="A124" s="17" t="s">
        <v>37</v>
      </c>
      <c r="B124" s="17" t="s">
        <v>44</v>
      </c>
      <c r="C124" s="17" t="s">
        <v>45</v>
      </c>
      <c r="D124" s="17" t="s">
        <v>46</v>
      </c>
      <c r="E124" s="17" t="s">
        <v>50</v>
      </c>
      <c r="F124" s="17">
        <v>47532</v>
      </c>
      <c r="G124" s="17">
        <v>886</v>
      </c>
      <c r="H124" s="17">
        <v>24</v>
      </c>
      <c r="I124" s="17">
        <v>7898.24</v>
      </c>
      <c r="J124" s="17">
        <v>14108.09</v>
      </c>
      <c r="K124" s="17">
        <v>327</v>
      </c>
      <c r="L124" s="17">
        <v>32</v>
      </c>
      <c r="M124" s="17">
        <v>30</v>
      </c>
    </row>
    <row r="125" spans="1:13" ht="15.75">
      <c r="A125" s="17" t="s">
        <v>51</v>
      </c>
      <c r="B125" s="17" t="s">
        <v>38</v>
      </c>
      <c r="C125" s="17" t="s">
        <v>49</v>
      </c>
      <c r="D125" s="17" t="s">
        <v>40</v>
      </c>
      <c r="E125" s="17" t="s">
        <v>50</v>
      </c>
      <c r="F125" s="17">
        <v>11833</v>
      </c>
      <c r="G125" s="17">
        <v>94</v>
      </c>
      <c r="H125" s="17">
        <v>1</v>
      </c>
      <c r="I125" s="17">
        <v>3694.49</v>
      </c>
      <c r="J125" s="17">
        <v>843.06</v>
      </c>
      <c r="K125" s="17">
        <v>33</v>
      </c>
      <c r="L125" s="17">
        <v>2</v>
      </c>
      <c r="M125" s="17">
        <v>2</v>
      </c>
    </row>
    <row r="126" spans="1:13" ht="15.75">
      <c r="A126" s="17" t="s">
        <v>42</v>
      </c>
      <c r="B126" s="17" t="s">
        <v>38</v>
      </c>
      <c r="C126" s="17" t="s">
        <v>55</v>
      </c>
      <c r="D126" s="17" t="s">
        <v>40</v>
      </c>
      <c r="E126" s="17" t="s">
        <v>41</v>
      </c>
      <c r="F126" s="17">
        <v>31428</v>
      </c>
      <c r="G126" s="17">
        <v>315</v>
      </c>
      <c r="H126" s="17">
        <v>5</v>
      </c>
      <c r="I126" s="17">
        <v>5910.23</v>
      </c>
      <c r="J126" s="17">
        <v>2912.18</v>
      </c>
      <c r="K126" s="17">
        <v>142</v>
      </c>
      <c r="L126" s="17">
        <v>10</v>
      </c>
      <c r="M126" s="17">
        <v>5</v>
      </c>
    </row>
    <row r="127" spans="1:13" ht="15.75">
      <c r="A127" s="17" t="s">
        <v>52</v>
      </c>
      <c r="B127" s="17" t="s">
        <v>48</v>
      </c>
      <c r="C127" s="17" t="s">
        <v>39</v>
      </c>
      <c r="D127" s="17" t="s">
        <v>46</v>
      </c>
      <c r="E127" s="17" t="s">
        <v>53</v>
      </c>
      <c r="F127" s="17">
        <v>18681</v>
      </c>
      <c r="G127" s="17">
        <v>511</v>
      </c>
      <c r="H127" s="17">
        <v>14</v>
      </c>
      <c r="I127" s="17">
        <v>7310.38</v>
      </c>
      <c r="J127" s="17">
        <v>19611.560000000001</v>
      </c>
      <c r="K127" s="18">
        <v>0</v>
      </c>
      <c r="L127" s="18">
        <v>0</v>
      </c>
      <c r="M127" s="18">
        <v>0</v>
      </c>
    </row>
    <row r="128" spans="1:13" ht="15.75">
      <c r="A128" s="17" t="s">
        <v>52</v>
      </c>
      <c r="B128" s="17" t="s">
        <v>43</v>
      </c>
      <c r="C128" s="17" t="s">
        <v>55</v>
      </c>
      <c r="D128" s="17" t="s">
        <v>40</v>
      </c>
      <c r="E128" s="17" t="s">
        <v>53</v>
      </c>
      <c r="F128" s="17">
        <v>17490</v>
      </c>
      <c r="G128" s="17">
        <v>676</v>
      </c>
      <c r="H128" s="17">
        <v>22</v>
      </c>
      <c r="I128" s="17">
        <v>8351</v>
      </c>
      <c r="J128" s="17">
        <v>25693.61</v>
      </c>
      <c r="K128" s="18">
        <v>0</v>
      </c>
      <c r="L128" s="18">
        <v>0</v>
      </c>
      <c r="M128" s="18">
        <v>0</v>
      </c>
    </row>
    <row r="129" spans="1:13" ht="15.75">
      <c r="A129" s="17" t="s">
        <v>42</v>
      </c>
      <c r="B129" s="17" t="s">
        <v>38</v>
      </c>
      <c r="C129" s="17" t="s">
        <v>54</v>
      </c>
      <c r="D129" s="17" t="s">
        <v>46</v>
      </c>
      <c r="E129" s="17" t="s">
        <v>41</v>
      </c>
      <c r="F129" s="17">
        <v>14380</v>
      </c>
      <c r="G129" s="17">
        <v>153</v>
      </c>
      <c r="H129" s="17">
        <v>3</v>
      </c>
      <c r="I129" s="17">
        <v>3832</v>
      </c>
      <c r="J129" s="17">
        <v>4146.3</v>
      </c>
      <c r="K129" s="17">
        <v>75</v>
      </c>
      <c r="L129" s="17">
        <v>4</v>
      </c>
      <c r="M129" s="17">
        <v>2</v>
      </c>
    </row>
    <row r="130" spans="1:13" ht="15.75">
      <c r="A130" s="17" t="s">
        <v>42</v>
      </c>
      <c r="B130" s="17" t="s">
        <v>44</v>
      </c>
      <c r="C130" s="17" t="s">
        <v>54</v>
      </c>
      <c r="D130" s="17" t="s">
        <v>40</v>
      </c>
      <c r="E130" s="17" t="s">
        <v>41</v>
      </c>
      <c r="F130" s="17">
        <v>57262</v>
      </c>
      <c r="G130" s="17">
        <v>254</v>
      </c>
      <c r="H130" s="17">
        <v>5</v>
      </c>
      <c r="I130" s="17">
        <v>2862.56</v>
      </c>
      <c r="J130" s="17">
        <v>7232.21</v>
      </c>
      <c r="K130" s="17">
        <v>101</v>
      </c>
      <c r="L130" s="17">
        <v>12</v>
      </c>
      <c r="M130" s="17">
        <v>10</v>
      </c>
    </row>
    <row r="131" spans="1:13" ht="15.75">
      <c r="A131" s="17" t="s">
        <v>51</v>
      </c>
      <c r="B131" s="17" t="s">
        <v>44</v>
      </c>
      <c r="C131" s="17" t="s">
        <v>54</v>
      </c>
      <c r="D131" s="17" t="s">
        <v>46</v>
      </c>
      <c r="E131" s="17" t="s">
        <v>50</v>
      </c>
      <c r="F131" s="17">
        <v>56767</v>
      </c>
      <c r="G131" s="17">
        <v>943</v>
      </c>
      <c r="H131" s="17">
        <v>14</v>
      </c>
      <c r="I131" s="17">
        <v>5047.3599999999997</v>
      </c>
      <c r="J131" s="17">
        <v>8477.67</v>
      </c>
      <c r="K131" s="17">
        <v>324</v>
      </c>
      <c r="L131" s="17">
        <v>46</v>
      </c>
      <c r="M131" s="17">
        <v>29</v>
      </c>
    </row>
    <row r="132" spans="1:13" ht="15.75">
      <c r="A132" s="17" t="s">
        <v>37</v>
      </c>
      <c r="B132" s="17" t="s">
        <v>44</v>
      </c>
      <c r="C132" s="17" t="s">
        <v>45</v>
      </c>
      <c r="D132" s="17" t="s">
        <v>40</v>
      </c>
      <c r="E132" s="17" t="s">
        <v>41</v>
      </c>
      <c r="F132" s="17">
        <v>23469</v>
      </c>
      <c r="G132" s="17">
        <v>400</v>
      </c>
      <c r="H132" s="17">
        <v>11</v>
      </c>
      <c r="I132" s="17">
        <v>8722.7099999999991</v>
      </c>
      <c r="J132" s="17">
        <v>12036.82</v>
      </c>
      <c r="K132" s="17">
        <v>174</v>
      </c>
      <c r="L132" s="17">
        <v>19</v>
      </c>
      <c r="M132" s="17">
        <v>6</v>
      </c>
    </row>
    <row r="133" spans="1:13" ht="15.75">
      <c r="A133" s="17" t="s">
        <v>51</v>
      </c>
      <c r="B133" s="17" t="s">
        <v>48</v>
      </c>
      <c r="C133" s="17" t="s">
        <v>39</v>
      </c>
      <c r="D133" s="17" t="s">
        <v>40</v>
      </c>
      <c r="E133" s="17" t="s">
        <v>50</v>
      </c>
      <c r="F133" s="17">
        <v>63077</v>
      </c>
      <c r="G133" s="17">
        <v>322</v>
      </c>
      <c r="H133" s="17">
        <v>3</v>
      </c>
      <c r="I133" s="17">
        <v>4673.22</v>
      </c>
      <c r="J133" s="17">
        <v>2061.96</v>
      </c>
      <c r="K133" s="17">
        <v>123</v>
      </c>
      <c r="L133" s="17">
        <v>15</v>
      </c>
      <c r="M133" s="17">
        <v>12</v>
      </c>
    </row>
    <row r="134" spans="1:13" ht="15.75">
      <c r="A134" s="17" t="s">
        <v>52</v>
      </c>
      <c r="B134" s="17" t="s">
        <v>43</v>
      </c>
      <c r="C134" s="17" t="s">
        <v>45</v>
      </c>
      <c r="D134" s="17" t="s">
        <v>46</v>
      </c>
      <c r="E134" s="17" t="s">
        <v>56</v>
      </c>
      <c r="F134" s="17">
        <v>10478</v>
      </c>
      <c r="G134" s="17">
        <v>328</v>
      </c>
      <c r="H134" s="17">
        <v>13</v>
      </c>
      <c r="I134" s="17">
        <v>2481.85</v>
      </c>
      <c r="J134" s="17">
        <v>12731.37</v>
      </c>
      <c r="K134" s="18">
        <v>0</v>
      </c>
      <c r="L134" s="18">
        <v>0</v>
      </c>
      <c r="M134" s="18">
        <v>0</v>
      </c>
    </row>
    <row r="135" spans="1:13" ht="15.75">
      <c r="A135" s="17" t="s">
        <v>42</v>
      </c>
      <c r="B135" s="17" t="s">
        <v>43</v>
      </c>
      <c r="C135" s="17" t="s">
        <v>45</v>
      </c>
      <c r="D135" s="17" t="s">
        <v>40</v>
      </c>
      <c r="E135" s="17" t="s">
        <v>50</v>
      </c>
      <c r="F135" s="17">
        <v>51090</v>
      </c>
      <c r="G135" s="17">
        <v>122</v>
      </c>
      <c r="H135" s="17">
        <v>2</v>
      </c>
      <c r="I135" s="17">
        <v>4082.78</v>
      </c>
      <c r="J135" s="17">
        <v>2799.39</v>
      </c>
      <c r="K135" s="17">
        <v>43</v>
      </c>
      <c r="L135" s="17">
        <v>2</v>
      </c>
      <c r="M135" s="17">
        <v>3</v>
      </c>
    </row>
    <row r="136" spans="1:13" ht="15.75">
      <c r="A136" s="17" t="s">
        <v>52</v>
      </c>
      <c r="B136" s="17" t="s">
        <v>43</v>
      </c>
      <c r="C136" s="17" t="s">
        <v>49</v>
      </c>
      <c r="D136" s="17" t="s">
        <v>46</v>
      </c>
      <c r="E136" s="17" t="s">
        <v>56</v>
      </c>
      <c r="F136" s="17">
        <v>29825</v>
      </c>
      <c r="G136" s="17">
        <v>1024</v>
      </c>
      <c r="H136" s="17">
        <v>24</v>
      </c>
      <c r="I136" s="17">
        <v>3244.37</v>
      </c>
      <c r="J136" s="17">
        <v>33244.58</v>
      </c>
      <c r="K136" s="18">
        <v>0</v>
      </c>
      <c r="L136" s="18">
        <v>0</v>
      </c>
      <c r="M136" s="18">
        <v>0</v>
      </c>
    </row>
    <row r="137" spans="1:13" ht="15.75">
      <c r="A137" s="17" t="s">
        <v>37</v>
      </c>
      <c r="B137" s="17" t="s">
        <v>48</v>
      </c>
      <c r="C137" s="17" t="s">
        <v>54</v>
      </c>
      <c r="D137" s="17" t="s">
        <v>40</v>
      </c>
      <c r="E137" s="17" t="s">
        <v>50</v>
      </c>
      <c r="F137" s="17">
        <v>57837</v>
      </c>
      <c r="G137" s="17">
        <v>948</v>
      </c>
      <c r="H137" s="17">
        <v>28</v>
      </c>
      <c r="I137" s="17">
        <v>8274.92</v>
      </c>
      <c r="J137" s="17">
        <v>36723.040000000001</v>
      </c>
      <c r="K137" s="17">
        <v>345</v>
      </c>
      <c r="L137" s="17">
        <v>42</v>
      </c>
      <c r="M137" s="17">
        <v>14</v>
      </c>
    </row>
    <row r="138" spans="1:13" ht="15.75">
      <c r="A138" s="17" t="s">
        <v>51</v>
      </c>
      <c r="B138" s="17" t="s">
        <v>44</v>
      </c>
      <c r="C138" s="17" t="s">
        <v>45</v>
      </c>
      <c r="D138" s="17" t="s">
        <v>46</v>
      </c>
      <c r="E138" s="17" t="s">
        <v>50</v>
      </c>
      <c r="F138" s="17">
        <v>19179</v>
      </c>
      <c r="G138" s="17">
        <v>200</v>
      </c>
      <c r="H138" s="17">
        <v>3</v>
      </c>
      <c r="I138" s="17">
        <v>7968.52</v>
      </c>
      <c r="J138" s="17">
        <v>4251.17</v>
      </c>
      <c r="K138" s="17">
        <v>93</v>
      </c>
      <c r="L138" s="17">
        <v>4</v>
      </c>
      <c r="M138" s="17">
        <v>4</v>
      </c>
    </row>
    <row r="139" spans="1:13" ht="15.75">
      <c r="A139" s="17" t="s">
        <v>37</v>
      </c>
      <c r="B139" s="17" t="s">
        <v>43</v>
      </c>
      <c r="C139" s="17" t="s">
        <v>54</v>
      </c>
      <c r="D139" s="17" t="s">
        <v>46</v>
      </c>
      <c r="E139" s="17" t="s">
        <v>50</v>
      </c>
      <c r="F139" s="17">
        <v>44981</v>
      </c>
      <c r="G139" s="17">
        <v>425</v>
      </c>
      <c r="H139" s="17">
        <v>9</v>
      </c>
      <c r="I139" s="17">
        <v>4767.83</v>
      </c>
      <c r="J139" s="17">
        <v>11351.15</v>
      </c>
      <c r="K139" s="17">
        <v>186</v>
      </c>
      <c r="L139" s="17">
        <v>18</v>
      </c>
      <c r="M139" s="17">
        <v>16</v>
      </c>
    </row>
    <row r="140" spans="1:13" ht="15.75">
      <c r="A140" s="17" t="s">
        <v>51</v>
      </c>
      <c r="B140" s="17" t="s">
        <v>48</v>
      </c>
      <c r="C140" s="17" t="s">
        <v>55</v>
      </c>
      <c r="D140" s="17" t="s">
        <v>40</v>
      </c>
      <c r="E140" s="17" t="s">
        <v>50</v>
      </c>
      <c r="F140" s="17">
        <v>17327</v>
      </c>
      <c r="G140" s="17">
        <v>224</v>
      </c>
      <c r="H140" s="17">
        <v>3</v>
      </c>
      <c r="I140" s="17">
        <v>7007.93</v>
      </c>
      <c r="J140" s="17">
        <v>4341.09</v>
      </c>
      <c r="K140" s="17">
        <v>74</v>
      </c>
      <c r="L140" s="17">
        <v>9</v>
      </c>
      <c r="M140" s="17">
        <v>7</v>
      </c>
    </row>
    <row r="141" spans="1:13" ht="15.75">
      <c r="A141" s="17" t="s">
        <v>51</v>
      </c>
      <c r="B141" s="17" t="s">
        <v>44</v>
      </c>
      <c r="C141" s="17" t="s">
        <v>45</v>
      </c>
      <c r="D141" s="17" t="s">
        <v>40</v>
      </c>
      <c r="E141" s="17" t="s">
        <v>50</v>
      </c>
      <c r="F141" s="17">
        <v>73905</v>
      </c>
      <c r="G141" s="17">
        <v>1056</v>
      </c>
      <c r="H141" s="17">
        <v>13</v>
      </c>
      <c r="I141" s="17">
        <v>4504.78</v>
      </c>
      <c r="J141" s="17">
        <v>13690.12</v>
      </c>
      <c r="K141" s="17">
        <v>448</v>
      </c>
      <c r="L141" s="17">
        <v>29</v>
      </c>
      <c r="M141" s="17">
        <v>30</v>
      </c>
    </row>
    <row r="142" spans="1:13" ht="15.75">
      <c r="A142" s="17" t="s">
        <v>37</v>
      </c>
      <c r="B142" s="17" t="s">
        <v>48</v>
      </c>
      <c r="C142" s="17" t="s">
        <v>45</v>
      </c>
      <c r="D142" s="17" t="s">
        <v>40</v>
      </c>
      <c r="E142" s="17" t="s">
        <v>41</v>
      </c>
      <c r="F142" s="17">
        <v>33926</v>
      </c>
      <c r="G142" s="17">
        <v>291</v>
      </c>
      <c r="H142" s="17">
        <v>9</v>
      </c>
      <c r="I142" s="17">
        <v>5472.83</v>
      </c>
      <c r="J142" s="17">
        <v>5771.37</v>
      </c>
      <c r="K142" s="17">
        <v>135</v>
      </c>
      <c r="L142" s="17">
        <v>7</v>
      </c>
      <c r="M142" s="17">
        <v>3</v>
      </c>
    </row>
    <row r="143" spans="1:13" ht="15.75">
      <c r="A143" s="17" t="s">
        <v>52</v>
      </c>
      <c r="B143" s="17" t="s">
        <v>44</v>
      </c>
      <c r="C143" s="17" t="s">
        <v>39</v>
      </c>
      <c r="D143" s="17" t="s">
        <v>40</v>
      </c>
      <c r="E143" s="17" t="s">
        <v>53</v>
      </c>
      <c r="F143" s="17">
        <v>23841</v>
      </c>
      <c r="G143" s="17">
        <v>790</v>
      </c>
      <c r="H143" s="17">
        <v>26</v>
      </c>
      <c r="I143" s="17">
        <v>5212.3900000000003</v>
      </c>
      <c r="J143" s="17">
        <v>23715.54</v>
      </c>
      <c r="K143" s="18">
        <v>0</v>
      </c>
      <c r="L143" s="18">
        <v>0</v>
      </c>
      <c r="M143" s="18">
        <v>0</v>
      </c>
    </row>
    <row r="144" spans="1:13" ht="15.75">
      <c r="A144" s="17" t="s">
        <v>51</v>
      </c>
      <c r="B144" s="17" t="s">
        <v>44</v>
      </c>
      <c r="C144" s="17" t="s">
        <v>55</v>
      </c>
      <c r="D144" s="17" t="s">
        <v>46</v>
      </c>
      <c r="E144" s="17" t="s">
        <v>50</v>
      </c>
      <c r="F144" s="17">
        <v>67179</v>
      </c>
      <c r="G144" s="17">
        <v>443</v>
      </c>
      <c r="H144" s="17">
        <v>6</v>
      </c>
      <c r="I144" s="17">
        <v>4280.67</v>
      </c>
      <c r="J144" s="17">
        <v>7433.56</v>
      </c>
      <c r="K144" s="17">
        <v>135</v>
      </c>
      <c r="L144" s="17">
        <v>20</v>
      </c>
      <c r="M144" s="17">
        <v>5</v>
      </c>
    </row>
    <row r="145" spans="1:13" ht="15.75">
      <c r="A145" s="17" t="s">
        <v>52</v>
      </c>
      <c r="B145" s="17" t="s">
        <v>44</v>
      </c>
      <c r="C145" s="17" t="s">
        <v>49</v>
      </c>
      <c r="D145" s="17" t="s">
        <v>46</v>
      </c>
      <c r="E145" s="17" t="s">
        <v>56</v>
      </c>
      <c r="F145" s="17">
        <v>31232</v>
      </c>
      <c r="G145" s="17">
        <v>922</v>
      </c>
      <c r="H145" s="17">
        <v>29</v>
      </c>
      <c r="I145" s="17">
        <v>3681.35</v>
      </c>
      <c r="J145" s="17">
        <v>20744.48</v>
      </c>
      <c r="K145" s="18">
        <v>0</v>
      </c>
      <c r="L145" s="18">
        <v>0</v>
      </c>
      <c r="M145" s="18">
        <v>0</v>
      </c>
    </row>
    <row r="146" spans="1:13" ht="15.75">
      <c r="A146" s="17" t="s">
        <v>51</v>
      </c>
      <c r="B146" s="17" t="s">
        <v>43</v>
      </c>
      <c r="C146" s="17" t="s">
        <v>54</v>
      </c>
      <c r="D146" s="17" t="s">
        <v>46</v>
      </c>
      <c r="E146" s="17" t="s">
        <v>50</v>
      </c>
      <c r="F146" s="17">
        <v>51219</v>
      </c>
      <c r="G146" s="17">
        <v>629</v>
      </c>
      <c r="H146" s="17">
        <v>11</v>
      </c>
      <c r="I146" s="17">
        <v>6763.57</v>
      </c>
      <c r="J146" s="17">
        <v>7237.66</v>
      </c>
      <c r="K146" s="17">
        <v>249</v>
      </c>
      <c r="L146" s="17">
        <v>14</v>
      </c>
      <c r="M146" s="17">
        <v>9</v>
      </c>
    </row>
    <row r="147" spans="1:13" ht="15.75">
      <c r="A147" s="17" t="s">
        <v>37</v>
      </c>
      <c r="B147" s="17" t="s">
        <v>48</v>
      </c>
      <c r="C147" s="17" t="s">
        <v>45</v>
      </c>
      <c r="D147" s="17" t="s">
        <v>40</v>
      </c>
      <c r="E147" s="17" t="s">
        <v>47</v>
      </c>
      <c r="F147" s="17">
        <v>17196</v>
      </c>
      <c r="G147" s="18">
        <v>0</v>
      </c>
      <c r="H147" s="17">
        <v>5</v>
      </c>
      <c r="I147" s="17">
        <v>2515.4</v>
      </c>
      <c r="J147" s="17">
        <v>3888.19</v>
      </c>
      <c r="K147" s="17">
        <v>120</v>
      </c>
      <c r="L147" s="17">
        <v>7</v>
      </c>
      <c r="M147" s="17">
        <v>6</v>
      </c>
    </row>
    <row r="148" spans="1:13" ht="15.75">
      <c r="A148" s="17" t="s">
        <v>42</v>
      </c>
      <c r="B148" s="17" t="s">
        <v>44</v>
      </c>
      <c r="C148" s="17" t="s">
        <v>54</v>
      </c>
      <c r="D148" s="17" t="s">
        <v>46</v>
      </c>
      <c r="E148" s="17" t="s">
        <v>47</v>
      </c>
      <c r="F148" s="17">
        <v>76693</v>
      </c>
      <c r="G148" s="17">
        <v>783</v>
      </c>
      <c r="H148" s="17">
        <v>17</v>
      </c>
      <c r="I148" s="17">
        <v>7986.69</v>
      </c>
      <c r="J148" s="17">
        <v>20262.82</v>
      </c>
      <c r="K148" s="17">
        <v>255</v>
      </c>
      <c r="L148" s="17">
        <v>20</v>
      </c>
      <c r="M148" s="17">
        <v>17</v>
      </c>
    </row>
    <row r="149" spans="1:13" ht="15.75">
      <c r="A149" s="17" t="s">
        <v>52</v>
      </c>
      <c r="B149" s="17" t="s">
        <v>48</v>
      </c>
      <c r="C149" s="17" t="s">
        <v>54</v>
      </c>
      <c r="D149" s="17" t="s">
        <v>46</v>
      </c>
      <c r="E149" s="17" t="s">
        <v>56</v>
      </c>
      <c r="F149" s="17">
        <v>50792</v>
      </c>
      <c r="G149" s="17">
        <v>1592</v>
      </c>
      <c r="H149" s="17">
        <v>13</v>
      </c>
      <c r="I149" s="17">
        <v>3209.91</v>
      </c>
      <c r="J149" s="17">
        <v>9231.99</v>
      </c>
      <c r="K149" s="18">
        <v>0</v>
      </c>
      <c r="L149" s="18">
        <v>0</v>
      </c>
      <c r="M149" s="18">
        <v>0</v>
      </c>
    </row>
    <row r="150" spans="1:13" ht="15.75">
      <c r="A150" s="17" t="s">
        <v>51</v>
      </c>
      <c r="B150" s="17" t="s">
        <v>43</v>
      </c>
      <c r="C150" s="17" t="s">
        <v>55</v>
      </c>
      <c r="D150" s="17" t="s">
        <v>40</v>
      </c>
      <c r="E150" s="17" t="s">
        <v>50</v>
      </c>
      <c r="F150" s="17">
        <v>59231</v>
      </c>
      <c r="G150" s="17">
        <v>484</v>
      </c>
      <c r="H150" s="17">
        <v>9</v>
      </c>
      <c r="I150" s="17">
        <v>3155.79</v>
      </c>
      <c r="J150" s="17">
        <v>7634.97</v>
      </c>
      <c r="K150" s="17">
        <v>223</v>
      </c>
      <c r="L150" s="17">
        <v>18</v>
      </c>
      <c r="M150" s="17">
        <v>13</v>
      </c>
    </row>
    <row r="151" spans="1:13" ht="15.75">
      <c r="A151" s="17" t="s">
        <v>37</v>
      </c>
      <c r="B151" s="17" t="s">
        <v>38</v>
      </c>
      <c r="C151" s="17" t="s">
        <v>39</v>
      </c>
      <c r="D151" s="17" t="s">
        <v>40</v>
      </c>
      <c r="E151" s="17" t="s">
        <v>50</v>
      </c>
      <c r="F151" s="17">
        <v>13994</v>
      </c>
      <c r="G151" s="17">
        <v>259</v>
      </c>
      <c r="H151" s="17">
        <v>2</v>
      </c>
      <c r="I151" s="17">
        <v>3425.53</v>
      </c>
      <c r="J151" s="17">
        <v>1491.86</v>
      </c>
      <c r="K151" s="17">
        <v>129</v>
      </c>
      <c r="L151" s="17">
        <v>11</v>
      </c>
      <c r="M151" s="17">
        <v>6</v>
      </c>
    </row>
    <row r="152" spans="1:13" ht="15.75">
      <c r="A152" s="17" t="s">
        <v>52</v>
      </c>
      <c r="B152" s="17" t="s">
        <v>48</v>
      </c>
      <c r="C152" s="17" t="s">
        <v>45</v>
      </c>
      <c r="D152" s="17" t="s">
        <v>40</v>
      </c>
      <c r="E152" s="17" t="s">
        <v>56</v>
      </c>
      <c r="F152" s="17">
        <v>59889</v>
      </c>
      <c r="G152" s="17">
        <v>2233</v>
      </c>
      <c r="H152" s="17">
        <v>46</v>
      </c>
      <c r="I152" s="18">
        <v>0</v>
      </c>
      <c r="J152" s="17">
        <v>60964.82</v>
      </c>
      <c r="K152" s="18">
        <v>0</v>
      </c>
      <c r="L152" s="18">
        <v>0</v>
      </c>
      <c r="M152" s="18">
        <v>0</v>
      </c>
    </row>
    <row r="153" spans="1:13" ht="15.75">
      <c r="A153" s="17" t="s">
        <v>52</v>
      </c>
      <c r="B153" s="17" t="s">
        <v>38</v>
      </c>
      <c r="C153" s="17" t="s">
        <v>45</v>
      </c>
      <c r="D153" s="17" t="s">
        <v>46</v>
      </c>
      <c r="E153" s="17" t="s">
        <v>53</v>
      </c>
      <c r="F153" s="17">
        <v>11061</v>
      </c>
      <c r="G153" s="17">
        <v>302</v>
      </c>
      <c r="H153" s="18">
        <v>0</v>
      </c>
      <c r="I153" s="17">
        <v>5039.67</v>
      </c>
      <c r="J153" s="17">
        <v>4980.05</v>
      </c>
      <c r="K153" s="18">
        <v>0</v>
      </c>
      <c r="L153" s="18">
        <v>0</v>
      </c>
      <c r="M153" s="18">
        <v>0</v>
      </c>
    </row>
    <row r="154" spans="1:13" ht="15.75">
      <c r="A154" s="17" t="s">
        <v>52</v>
      </c>
      <c r="B154" s="17" t="s">
        <v>44</v>
      </c>
      <c r="C154" s="17" t="s">
        <v>55</v>
      </c>
      <c r="D154" s="17" t="s">
        <v>46</v>
      </c>
      <c r="E154" s="17" t="s">
        <v>56</v>
      </c>
      <c r="F154" s="17">
        <v>41985</v>
      </c>
      <c r="G154" s="17">
        <v>712</v>
      </c>
      <c r="H154" s="17">
        <v>28</v>
      </c>
      <c r="I154" s="17">
        <v>3683.79</v>
      </c>
      <c r="J154" s="17">
        <v>27543.13</v>
      </c>
      <c r="K154" s="18">
        <v>0</v>
      </c>
      <c r="L154" s="18">
        <v>0</v>
      </c>
      <c r="M154" s="18">
        <v>0</v>
      </c>
    </row>
    <row r="155" spans="1:13" ht="15.75">
      <c r="A155" s="17" t="s">
        <v>37</v>
      </c>
      <c r="B155" s="17" t="s">
        <v>38</v>
      </c>
      <c r="C155" s="17" t="s">
        <v>39</v>
      </c>
      <c r="D155" s="17" t="s">
        <v>40</v>
      </c>
      <c r="E155" s="17" t="s">
        <v>41</v>
      </c>
      <c r="F155" s="17">
        <v>69366</v>
      </c>
      <c r="G155" s="17">
        <v>565</v>
      </c>
      <c r="H155" s="17">
        <v>8</v>
      </c>
      <c r="I155" s="17">
        <v>5108.55</v>
      </c>
      <c r="J155" s="17">
        <v>5712.4</v>
      </c>
      <c r="K155" s="17">
        <v>211</v>
      </c>
      <c r="L155" s="17">
        <v>14</v>
      </c>
      <c r="M155" s="17">
        <v>17</v>
      </c>
    </row>
    <row r="156" spans="1:13" ht="15.75">
      <c r="A156" s="17" t="s">
        <v>51</v>
      </c>
      <c r="B156" s="17" t="s">
        <v>43</v>
      </c>
      <c r="C156" s="17" t="s">
        <v>55</v>
      </c>
      <c r="D156" s="17" t="s">
        <v>46</v>
      </c>
      <c r="E156" s="17" t="s">
        <v>50</v>
      </c>
      <c r="F156" s="17">
        <v>55657</v>
      </c>
      <c r="G156" s="17">
        <v>723</v>
      </c>
      <c r="H156" s="17">
        <v>8</v>
      </c>
      <c r="I156" s="17">
        <v>7771.98</v>
      </c>
      <c r="J156" s="17">
        <v>11548.84</v>
      </c>
      <c r="K156" s="17">
        <v>236</v>
      </c>
      <c r="L156" s="17">
        <v>28</v>
      </c>
      <c r="M156" s="17">
        <v>21</v>
      </c>
    </row>
    <row r="157" spans="1:13" ht="15.75">
      <c r="A157" s="17" t="s">
        <v>37</v>
      </c>
      <c r="B157" s="17" t="s">
        <v>48</v>
      </c>
      <c r="C157" s="17" t="s">
        <v>45</v>
      </c>
      <c r="D157" s="17" t="s">
        <v>46</v>
      </c>
      <c r="E157" s="17" t="s">
        <v>41</v>
      </c>
      <c r="F157" s="17">
        <v>60334</v>
      </c>
      <c r="G157" s="17">
        <v>778</v>
      </c>
      <c r="H157" s="17">
        <v>13</v>
      </c>
      <c r="I157" s="17">
        <v>5656.98</v>
      </c>
      <c r="J157" s="17">
        <v>11861.14</v>
      </c>
      <c r="K157" s="17">
        <v>300</v>
      </c>
      <c r="L157" s="17">
        <v>19</v>
      </c>
      <c r="M157" s="17">
        <v>13</v>
      </c>
    </row>
    <row r="158" spans="1:13" ht="15.75">
      <c r="A158" s="17" t="s">
        <v>37</v>
      </c>
      <c r="B158" s="17" t="s">
        <v>44</v>
      </c>
      <c r="C158" s="17" t="s">
        <v>49</v>
      </c>
      <c r="D158" s="17" t="s">
        <v>40</v>
      </c>
      <c r="E158" s="18" t="s">
        <v>65</v>
      </c>
      <c r="F158" s="17">
        <v>34030</v>
      </c>
      <c r="G158" s="17">
        <v>518</v>
      </c>
      <c r="H158" s="17">
        <v>14</v>
      </c>
      <c r="I158" s="17">
        <v>5297.21</v>
      </c>
      <c r="J158" s="17">
        <v>18143.490000000002</v>
      </c>
      <c r="K158" s="17">
        <v>155</v>
      </c>
      <c r="L158" s="17">
        <v>28</v>
      </c>
      <c r="M158" s="17">
        <v>8</v>
      </c>
    </row>
    <row r="159" spans="1:13" ht="15.75">
      <c r="A159" s="17" t="s">
        <v>42</v>
      </c>
      <c r="B159" s="17" t="s">
        <v>48</v>
      </c>
      <c r="C159" s="17" t="s">
        <v>39</v>
      </c>
      <c r="D159" s="17" t="s">
        <v>40</v>
      </c>
      <c r="E159" s="17" t="s">
        <v>47</v>
      </c>
      <c r="F159" s="17">
        <v>48552</v>
      </c>
      <c r="G159" s="17">
        <v>594</v>
      </c>
      <c r="H159" s="17">
        <v>11</v>
      </c>
      <c r="I159" s="17">
        <v>8449.18</v>
      </c>
      <c r="J159" s="17">
        <v>12741.66</v>
      </c>
      <c r="K159" s="17">
        <v>278</v>
      </c>
      <c r="L159" s="17">
        <v>18</v>
      </c>
      <c r="M159" s="17">
        <v>11</v>
      </c>
    </row>
    <row r="160" spans="1:13" ht="15.75">
      <c r="A160" s="17" t="s">
        <v>37</v>
      </c>
      <c r="B160" s="17" t="s">
        <v>44</v>
      </c>
      <c r="C160" s="17" t="s">
        <v>45</v>
      </c>
      <c r="D160" s="17" t="s">
        <v>46</v>
      </c>
      <c r="E160" s="17" t="s">
        <v>47</v>
      </c>
      <c r="F160" s="17">
        <v>79086</v>
      </c>
      <c r="G160" s="17">
        <v>1123</v>
      </c>
      <c r="H160" s="17">
        <v>19</v>
      </c>
      <c r="I160" s="17">
        <v>3537.3</v>
      </c>
      <c r="J160" s="17">
        <v>16264.68</v>
      </c>
      <c r="K160" s="17">
        <v>515</v>
      </c>
      <c r="L160" s="17">
        <v>62</v>
      </c>
      <c r="M160" s="17">
        <v>40</v>
      </c>
    </row>
    <row r="161" spans="1:13" ht="15.75">
      <c r="A161" s="17" t="s">
        <v>42</v>
      </c>
      <c r="B161" s="17" t="s">
        <v>43</v>
      </c>
      <c r="C161" s="17" t="s">
        <v>55</v>
      </c>
      <c r="D161" s="17" t="s">
        <v>46</v>
      </c>
      <c r="E161" s="17" t="s">
        <v>41</v>
      </c>
      <c r="F161" s="17">
        <v>26830</v>
      </c>
      <c r="G161" s="17">
        <v>352</v>
      </c>
      <c r="H161" s="17">
        <v>6</v>
      </c>
      <c r="I161" s="17">
        <v>7952.58</v>
      </c>
      <c r="J161" s="17">
        <v>3361.24</v>
      </c>
      <c r="K161" s="17">
        <v>122</v>
      </c>
      <c r="L161" s="17">
        <v>15</v>
      </c>
      <c r="M161" s="17">
        <v>6</v>
      </c>
    </row>
    <row r="162" spans="1:13" ht="15.75">
      <c r="A162" s="17" t="s">
        <v>37</v>
      </c>
      <c r="B162" s="17" t="s">
        <v>38</v>
      </c>
      <c r="C162" s="17" t="s">
        <v>49</v>
      </c>
      <c r="D162" s="17" t="s">
        <v>40</v>
      </c>
      <c r="E162" s="17" t="s">
        <v>47</v>
      </c>
      <c r="F162" s="17">
        <v>49174</v>
      </c>
      <c r="G162" s="17">
        <v>817</v>
      </c>
      <c r="H162" s="17">
        <v>21</v>
      </c>
      <c r="I162" s="17">
        <v>8578.27</v>
      </c>
      <c r="J162" s="17">
        <v>30369.63</v>
      </c>
      <c r="K162" s="17">
        <v>343</v>
      </c>
      <c r="L162" s="17">
        <v>46</v>
      </c>
      <c r="M162" s="17">
        <v>19</v>
      </c>
    </row>
    <row r="163" spans="1:13" ht="15.75">
      <c r="A163" s="17" t="s">
        <v>37</v>
      </c>
      <c r="B163" s="17" t="s">
        <v>44</v>
      </c>
      <c r="C163" s="17" t="s">
        <v>39</v>
      </c>
      <c r="D163" s="17" t="s">
        <v>40</v>
      </c>
      <c r="E163" s="17" t="s">
        <v>50</v>
      </c>
      <c r="F163" s="17">
        <v>60656</v>
      </c>
      <c r="G163" s="17">
        <v>808</v>
      </c>
      <c r="H163" s="18">
        <v>0</v>
      </c>
      <c r="I163" s="17">
        <v>2282.23</v>
      </c>
      <c r="J163" s="18">
        <v>0</v>
      </c>
      <c r="K163" s="17">
        <v>386</v>
      </c>
      <c r="L163" s="17">
        <v>20</v>
      </c>
      <c r="M163" s="17">
        <v>20</v>
      </c>
    </row>
    <row r="164" spans="1:13" ht="15.75">
      <c r="A164" s="17" t="s">
        <v>51</v>
      </c>
      <c r="B164" s="17" t="s">
        <v>48</v>
      </c>
      <c r="C164" s="17" t="s">
        <v>39</v>
      </c>
      <c r="D164" s="17" t="s">
        <v>46</v>
      </c>
      <c r="E164" s="17" t="s">
        <v>50</v>
      </c>
      <c r="F164" s="17">
        <v>39771</v>
      </c>
      <c r="G164" s="17">
        <v>602</v>
      </c>
      <c r="H164" s="17">
        <v>8</v>
      </c>
      <c r="I164" s="17">
        <v>8909.17</v>
      </c>
      <c r="J164" s="17">
        <v>6852.96</v>
      </c>
      <c r="K164" s="17">
        <v>259</v>
      </c>
      <c r="L164" s="17">
        <v>16</v>
      </c>
      <c r="M164" s="17">
        <v>14</v>
      </c>
    </row>
    <row r="165" spans="1:13" ht="15.75">
      <c r="A165" s="17" t="s">
        <v>37</v>
      </c>
      <c r="B165" s="17" t="s">
        <v>38</v>
      </c>
      <c r="C165" s="17" t="s">
        <v>39</v>
      </c>
      <c r="D165" s="17" t="s">
        <v>40</v>
      </c>
      <c r="E165" s="17" t="s">
        <v>50</v>
      </c>
      <c r="F165" s="17">
        <v>16462</v>
      </c>
      <c r="G165" s="17">
        <v>302</v>
      </c>
      <c r="H165" s="17">
        <v>9</v>
      </c>
      <c r="I165" s="17">
        <v>3785.43</v>
      </c>
      <c r="J165" s="17">
        <v>5685.98</v>
      </c>
      <c r="K165" s="17">
        <v>99</v>
      </c>
      <c r="L165" s="17">
        <v>15</v>
      </c>
      <c r="M165" s="17">
        <v>11</v>
      </c>
    </row>
    <row r="166" spans="1:13" ht="15.75">
      <c r="A166" s="17" t="s">
        <v>51</v>
      </c>
      <c r="B166" s="17" t="s">
        <v>44</v>
      </c>
      <c r="C166" s="17" t="s">
        <v>54</v>
      </c>
      <c r="D166" s="17" t="s">
        <v>40</v>
      </c>
      <c r="E166" s="17" t="s">
        <v>50</v>
      </c>
      <c r="F166" s="18">
        <v>0</v>
      </c>
      <c r="G166" s="17">
        <v>403</v>
      </c>
      <c r="H166" s="17">
        <v>8</v>
      </c>
      <c r="I166" s="17">
        <v>8873.67</v>
      </c>
      <c r="J166" s="17">
        <v>5966.91</v>
      </c>
      <c r="K166" s="17">
        <v>188</v>
      </c>
      <c r="L166" s="17">
        <v>8</v>
      </c>
      <c r="M166" s="17">
        <v>5</v>
      </c>
    </row>
    <row r="167" spans="1:13" ht="15.75">
      <c r="A167" s="17" t="s">
        <v>52</v>
      </c>
      <c r="B167" s="17" t="s">
        <v>44</v>
      </c>
      <c r="C167" s="17" t="s">
        <v>45</v>
      </c>
      <c r="D167" s="17" t="s">
        <v>40</v>
      </c>
      <c r="E167" s="17" t="s">
        <v>56</v>
      </c>
      <c r="F167" s="17">
        <v>39037</v>
      </c>
      <c r="G167" s="17">
        <v>697</v>
      </c>
      <c r="H167" s="17">
        <v>9</v>
      </c>
      <c r="I167" s="17">
        <v>4538.7</v>
      </c>
      <c r="J167" s="17">
        <v>12134.53</v>
      </c>
      <c r="K167" s="18">
        <v>0</v>
      </c>
      <c r="L167" s="18">
        <v>0</v>
      </c>
      <c r="M167" s="18">
        <v>0</v>
      </c>
    </row>
    <row r="168" spans="1:13" ht="15.75">
      <c r="A168" s="17" t="s">
        <v>51</v>
      </c>
      <c r="B168" s="17" t="s">
        <v>44</v>
      </c>
      <c r="C168" s="17" t="s">
        <v>55</v>
      </c>
      <c r="D168" s="17" t="s">
        <v>40</v>
      </c>
      <c r="E168" s="17" t="s">
        <v>50</v>
      </c>
      <c r="F168" s="17">
        <v>24845</v>
      </c>
      <c r="G168" s="17">
        <v>373</v>
      </c>
      <c r="H168" s="17">
        <v>6</v>
      </c>
      <c r="I168" s="17">
        <v>6975.68</v>
      </c>
      <c r="J168" s="17">
        <v>3669.87</v>
      </c>
      <c r="K168" s="17">
        <v>132</v>
      </c>
      <c r="L168" s="17">
        <v>18</v>
      </c>
      <c r="M168" s="17">
        <v>14</v>
      </c>
    </row>
    <row r="169" spans="1:13" ht="15.75">
      <c r="A169" s="17" t="s">
        <v>51</v>
      </c>
      <c r="B169" s="17" t="s">
        <v>44</v>
      </c>
      <c r="C169" s="17" t="s">
        <v>55</v>
      </c>
      <c r="D169" s="17" t="s">
        <v>46</v>
      </c>
      <c r="E169" s="17" t="s">
        <v>50</v>
      </c>
      <c r="F169" s="17">
        <v>39800</v>
      </c>
      <c r="G169" s="17">
        <v>492</v>
      </c>
      <c r="H169" s="17">
        <v>5</v>
      </c>
      <c r="I169" s="17">
        <v>6067.19</v>
      </c>
      <c r="J169" s="17">
        <v>7071.6</v>
      </c>
      <c r="K169" s="17">
        <v>177</v>
      </c>
      <c r="L169" s="17">
        <v>19</v>
      </c>
      <c r="M169" s="17">
        <v>6</v>
      </c>
    </row>
    <row r="170" spans="1:13" ht="15.75">
      <c r="A170" s="17" t="s">
        <v>51</v>
      </c>
      <c r="B170" s="17" t="s">
        <v>48</v>
      </c>
      <c r="C170" s="17" t="s">
        <v>54</v>
      </c>
      <c r="D170" s="17" t="s">
        <v>46</v>
      </c>
      <c r="E170" s="17" t="s">
        <v>50</v>
      </c>
      <c r="F170" s="17">
        <v>61234</v>
      </c>
      <c r="G170" s="17">
        <v>526</v>
      </c>
      <c r="H170" s="17">
        <v>9</v>
      </c>
      <c r="I170" s="17">
        <v>7894.28</v>
      </c>
      <c r="J170" s="17">
        <v>6232.18</v>
      </c>
      <c r="K170" s="17">
        <v>256</v>
      </c>
      <c r="L170" s="17">
        <v>24</v>
      </c>
      <c r="M170" s="17">
        <v>5</v>
      </c>
    </row>
    <row r="171" spans="1:13" ht="15.75">
      <c r="A171" s="17" t="s">
        <v>42</v>
      </c>
      <c r="B171" s="17" t="s">
        <v>43</v>
      </c>
      <c r="C171" s="17" t="s">
        <v>45</v>
      </c>
      <c r="D171" s="17" t="s">
        <v>46</v>
      </c>
      <c r="E171" s="17" t="s">
        <v>41</v>
      </c>
      <c r="F171" s="17">
        <v>48508</v>
      </c>
      <c r="G171" s="17">
        <v>233</v>
      </c>
      <c r="H171" s="17">
        <v>3</v>
      </c>
      <c r="I171" s="17">
        <v>8251.7000000000007</v>
      </c>
      <c r="J171" s="17">
        <v>2498.5700000000002</v>
      </c>
      <c r="K171" s="17">
        <v>90</v>
      </c>
      <c r="L171" s="17">
        <v>13</v>
      </c>
      <c r="M171" s="17">
        <v>8</v>
      </c>
    </row>
    <row r="172" spans="1:13" ht="15.75">
      <c r="A172" s="17" t="s">
        <v>52</v>
      </c>
      <c r="B172" s="17" t="s">
        <v>48</v>
      </c>
      <c r="C172" s="17" t="s">
        <v>45</v>
      </c>
      <c r="D172" s="17" t="s">
        <v>40</v>
      </c>
      <c r="E172" s="17" t="s">
        <v>53</v>
      </c>
      <c r="F172" s="17">
        <v>22595</v>
      </c>
      <c r="G172" s="17">
        <v>608</v>
      </c>
      <c r="H172" s="17">
        <v>33</v>
      </c>
      <c r="I172" s="17">
        <v>7683.3</v>
      </c>
      <c r="J172" s="17">
        <v>35066.769999999997</v>
      </c>
      <c r="K172" s="18">
        <v>0</v>
      </c>
      <c r="L172" s="18">
        <v>0</v>
      </c>
      <c r="M172" s="18">
        <v>0</v>
      </c>
    </row>
    <row r="173" spans="1:13" ht="15.75">
      <c r="A173" s="17" t="s">
        <v>42</v>
      </c>
      <c r="B173" s="17" t="s">
        <v>44</v>
      </c>
      <c r="C173" s="17" t="s">
        <v>49</v>
      </c>
      <c r="D173" s="17" t="s">
        <v>46</v>
      </c>
      <c r="E173" s="17" t="s">
        <v>50</v>
      </c>
      <c r="F173" s="17">
        <v>49372</v>
      </c>
      <c r="G173" s="17">
        <v>376</v>
      </c>
      <c r="H173" s="17">
        <v>7</v>
      </c>
      <c r="I173" s="17">
        <v>2247.1</v>
      </c>
      <c r="J173" s="17">
        <v>8311.73</v>
      </c>
      <c r="K173" s="17">
        <v>128</v>
      </c>
      <c r="L173" s="17">
        <v>19</v>
      </c>
      <c r="M173" s="17">
        <v>6</v>
      </c>
    </row>
    <row r="174" spans="1:13" ht="15.75">
      <c r="A174" s="17" t="s">
        <v>52</v>
      </c>
      <c r="B174" s="17" t="s">
        <v>38</v>
      </c>
      <c r="C174" s="17" t="s">
        <v>54</v>
      </c>
      <c r="D174" s="17" t="s">
        <v>40</v>
      </c>
      <c r="E174" s="17" t="s">
        <v>56</v>
      </c>
      <c r="F174" s="17">
        <v>40193</v>
      </c>
      <c r="G174" s="17">
        <v>1123</v>
      </c>
      <c r="H174" s="17">
        <v>43</v>
      </c>
      <c r="I174" s="17">
        <v>8429.4599999999991</v>
      </c>
      <c r="J174" s="18">
        <v>0</v>
      </c>
      <c r="K174" s="18">
        <v>0</v>
      </c>
      <c r="L174" s="18">
        <v>0</v>
      </c>
      <c r="M174" s="18">
        <v>0</v>
      </c>
    </row>
    <row r="175" spans="1:13" ht="15.75">
      <c r="A175" s="17" t="s">
        <v>42</v>
      </c>
      <c r="B175" s="17" t="s">
        <v>38</v>
      </c>
      <c r="C175" s="17" t="s">
        <v>49</v>
      </c>
      <c r="D175" s="17" t="s">
        <v>46</v>
      </c>
      <c r="E175" s="17" t="s">
        <v>47</v>
      </c>
      <c r="F175" s="17">
        <v>57579</v>
      </c>
      <c r="G175" s="17">
        <v>553</v>
      </c>
      <c r="H175" s="17">
        <v>10</v>
      </c>
      <c r="I175" s="17">
        <v>3398.17</v>
      </c>
      <c r="J175" s="17">
        <v>6070.15</v>
      </c>
      <c r="K175" s="17">
        <v>255</v>
      </c>
      <c r="L175" s="17">
        <v>28</v>
      </c>
      <c r="M175" s="17">
        <v>6</v>
      </c>
    </row>
    <row r="176" spans="1:13" ht="15.75">
      <c r="A176" s="17" t="s">
        <v>51</v>
      </c>
      <c r="B176" s="17" t="s">
        <v>43</v>
      </c>
      <c r="C176" s="17" t="s">
        <v>55</v>
      </c>
      <c r="D176" s="17" t="s">
        <v>46</v>
      </c>
      <c r="E176" s="17" t="s">
        <v>50</v>
      </c>
      <c r="F176" s="17">
        <v>20231</v>
      </c>
      <c r="G176" s="17">
        <v>230</v>
      </c>
      <c r="H176" s="17">
        <v>3</v>
      </c>
      <c r="I176" s="17">
        <v>2770.22</v>
      </c>
      <c r="J176" s="17">
        <v>3851.67</v>
      </c>
      <c r="K176" s="17">
        <v>81</v>
      </c>
      <c r="L176" s="17">
        <v>11</v>
      </c>
      <c r="M176" s="17">
        <v>8</v>
      </c>
    </row>
    <row r="177" spans="1:13" ht="15.75">
      <c r="A177" s="17" t="s">
        <v>42</v>
      </c>
      <c r="B177" s="17" t="s">
        <v>38</v>
      </c>
      <c r="C177" s="17" t="s">
        <v>45</v>
      </c>
      <c r="D177" s="17" t="s">
        <v>46</v>
      </c>
      <c r="E177" s="17" t="s">
        <v>50</v>
      </c>
      <c r="F177" s="17">
        <v>49200</v>
      </c>
      <c r="G177" s="17">
        <v>672</v>
      </c>
      <c r="H177" s="17">
        <v>18</v>
      </c>
      <c r="I177" s="17">
        <v>7117.31</v>
      </c>
      <c r="J177" s="17">
        <v>11247.65</v>
      </c>
      <c r="K177" s="17">
        <v>331</v>
      </c>
      <c r="L177" s="17">
        <v>15</v>
      </c>
      <c r="M177" s="17">
        <v>12</v>
      </c>
    </row>
    <row r="178" spans="1:13" ht="15.75">
      <c r="A178" s="17" t="s">
        <v>52</v>
      </c>
      <c r="B178" s="17" t="s">
        <v>48</v>
      </c>
      <c r="C178" s="17" t="s">
        <v>49</v>
      </c>
      <c r="D178" s="17" t="s">
        <v>40</v>
      </c>
      <c r="E178" s="17" t="s">
        <v>56</v>
      </c>
      <c r="F178" s="17">
        <v>52477</v>
      </c>
      <c r="G178" s="17">
        <v>907</v>
      </c>
      <c r="H178" s="17">
        <v>36</v>
      </c>
      <c r="I178" s="17">
        <v>6131.01</v>
      </c>
      <c r="J178" s="17">
        <v>20924.439999999999</v>
      </c>
      <c r="K178" s="18">
        <v>0</v>
      </c>
      <c r="L178" s="18">
        <v>0</v>
      </c>
      <c r="M178" s="18">
        <v>0</v>
      </c>
    </row>
    <row r="179" spans="1:13" ht="15.75">
      <c r="A179" s="17" t="s">
        <v>51</v>
      </c>
      <c r="B179" s="17" t="s">
        <v>48</v>
      </c>
      <c r="C179" s="17" t="s">
        <v>49</v>
      </c>
      <c r="D179" s="17" t="s">
        <v>40</v>
      </c>
      <c r="E179" s="17" t="s">
        <v>50</v>
      </c>
      <c r="F179" s="17">
        <v>26597</v>
      </c>
      <c r="G179" s="17">
        <v>338</v>
      </c>
      <c r="H179" s="17">
        <v>4</v>
      </c>
      <c r="I179" s="17">
        <v>6563.98</v>
      </c>
      <c r="J179" s="17">
        <v>4069.98</v>
      </c>
      <c r="K179" s="17">
        <v>115</v>
      </c>
      <c r="L179" s="17">
        <v>18</v>
      </c>
      <c r="M179" s="17">
        <v>9</v>
      </c>
    </row>
    <row r="180" spans="1:13" ht="15.75">
      <c r="A180" s="17" t="s">
        <v>42</v>
      </c>
      <c r="B180" s="17" t="s">
        <v>43</v>
      </c>
      <c r="C180" s="17" t="s">
        <v>45</v>
      </c>
      <c r="D180" s="17" t="s">
        <v>46</v>
      </c>
      <c r="E180" s="17" t="s">
        <v>50</v>
      </c>
      <c r="F180" s="17">
        <v>47468</v>
      </c>
      <c r="G180" s="17">
        <v>622</v>
      </c>
      <c r="H180" s="17">
        <v>16</v>
      </c>
      <c r="I180" s="17">
        <v>8305.4699999999993</v>
      </c>
      <c r="J180" s="17">
        <v>12082.68</v>
      </c>
      <c r="K180" s="17">
        <v>274</v>
      </c>
      <c r="L180" s="17">
        <v>19</v>
      </c>
      <c r="M180" s="17">
        <v>15</v>
      </c>
    </row>
    <row r="181" spans="1:13" ht="15.75">
      <c r="A181" s="17" t="s">
        <v>42</v>
      </c>
      <c r="B181" s="17" t="s">
        <v>38</v>
      </c>
      <c r="C181" s="17" t="s">
        <v>49</v>
      </c>
      <c r="D181" s="17" t="s">
        <v>40</v>
      </c>
      <c r="E181" s="17" t="s">
        <v>50</v>
      </c>
      <c r="F181" s="17">
        <v>43987</v>
      </c>
      <c r="G181" s="17">
        <v>346</v>
      </c>
      <c r="H181" s="18">
        <v>0</v>
      </c>
      <c r="I181" s="17">
        <v>2036.77</v>
      </c>
      <c r="J181" s="17">
        <v>5045.58</v>
      </c>
      <c r="K181" s="17">
        <v>134</v>
      </c>
      <c r="L181" s="17">
        <v>8</v>
      </c>
      <c r="M181" s="17">
        <v>13</v>
      </c>
    </row>
    <row r="182" spans="1:13" ht="15.75">
      <c r="A182" s="17" t="s">
        <v>37</v>
      </c>
      <c r="B182" s="17" t="s">
        <v>38</v>
      </c>
      <c r="C182" s="17" t="s">
        <v>49</v>
      </c>
      <c r="D182" s="17" t="s">
        <v>40</v>
      </c>
      <c r="E182" s="17" t="s">
        <v>41</v>
      </c>
      <c r="F182" s="17">
        <v>28921</v>
      </c>
      <c r="G182" s="17">
        <v>492</v>
      </c>
      <c r="H182" s="17">
        <v>13</v>
      </c>
      <c r="I182" s="18">
        <v>0</v>
      </c>
      <c r="J182" s="17">
        <v>9171.7199999999993</v>
      </c>
      <c r="K182" s="17">
        <v>170</v>
      </c>
      <c r="L182" s="17">
        <v>27</v>
      </c>
      <c r="M182" s="17">
        <v>19</v>
      </c>
    </row>
    <row r="183" spans="1:13" ht="15.75">
      <c r="A183" s="17" t="s">
        <v>52</v>
      </c>
      <c r="B183" s="17" t="s">
        <v>38</v>
      </c>
      <c r="C183" s="17" t="s">
        <v>45</v>
      </c>
      <c r="D183" s="17" t="s">
        <v>46</v>
      </c>
      <c r="E183" s="17" t="s">
        <v>56</v>
      </c>
      <c r="F183" s="17">
        <v>17604</v>
      </c>
      <c r="G183" s="17">
        <v>132</v>
      </c>
      <c r="H183" s="17">
        <v>4</v>
      </c>
      <c r="I183" s="17">
        <v>8725.19</v>
      </c>
      <c r="J183" s="17">
        <v>3618.28</v>
      </c>
      <c r="K183" s="18">
        <v>0</v>
      </c>
      <c r="L183" s="18">
        <v>0</v>
      </c>
      <c r="M183" s="18">
        <v>0</v>
      </c>
    </row>
    <row r="184" spans="1:13" ht="15.75">
      <c r="A184" s="17" t="s">
        <v>42</v>
      </c>
      <c r="B184" s="17" t="s">
        <v>38</v>
      </c>
      <c r="C184" s="17" t="s">
        <v>39</v>
      </c>
      <c r="D184" s="17" t="s">
        <v>46</v>
      </c>
      <c r="E184" s="17" t="s">
        <v>41</v>
      </c>
      <c r="F184" s="17">
        <v>27170</v>
      </c>
      <c r="G184" s="17">
        <v>298</v>
      </c>
      <c r="H184" s="17">
        <v>5</v>
      </c>
      <c r="I184" s="17">
        <v>7297.85</v>
      </c>
      <c r="J184" s="17">
        <v>5703.02</v>
      </c>
      <c r="K184" s="17">
        <v>116</v>
      </c>
      <c r="L184" s="17">
        <v>7</v>
      </c>
      <c r="M184" s="17">
        <v>7</v>
      </c>
    </row>
    <row r="185" spans="1:13" ht="15.75">
      <c r="A185" s="17" t="s">
        <v>42</v>
      </c>
      <c r="B185" s="17" t="s">
        <v>48</v>
      </c>
      <c r="C185" s="17" t="s">
        <v>45</v>
      </c>
      <c r="D185" s="17" t="s">
        <v>46</v>
      </c>
      <c r="E185" s="17" t="s">
        <v>47</v>
      </c>
      <c r="F185" s="17">
        <v>51119</v>
      </c>
      <c r="G185" s="17">
        <v>480</v>
      </c>
      <c r="H185" s="17">
        <v>12</v>
      </c>
      <c r="I185" s="17">
        <v>8523.48</v>
      </c>
      <c r="J185" s="17">
        <v>16072.57</v>
      </c>
      <c r="K185" s="17">
        <v>173</v>
      </c>
      <c r="L185" s="17">
        <v>19</v>
      </c>
      <c r="M185" s="17">
        <v>13</v>
      </c>
    </row>
    <row r="186" spans="1:13" ht="15.75">
      <c r="A186" s="17" t="s">
        <v>51</v>
      </c>
      <c r="B186" s="17" t="s">
        <v>43</v>
      </c>
      <c r="C186" s="17" t="s">
        <v>39</v>
      </c>
      <c r="D186" s="17" t="s">
        <v>40</v>
      </c>
      <c r="E186" s="17" t="s">
        <v>50</v>
      </c>
      <c r="F186" s="18">
        <v>0</v>
      </c>
      <c r="G186" s="17">
        <v>297</v>
      </c>
      <c r="H186" s="17">
        <v>3</v>
      </c>
      <c r="I186" s="17">
        <v>2173.4299999999998</v>
      </c>
      <c r="J186" s="17">
        <v>3846.36</v>
      </c>
      <c r="K186" s="17">
        <v>114</v>
      </c>
      <c r="L186" s="17">
        <v>16</v>
      </c>
      <c r="M186" s="17">
        <v>5</v>
      </c>
    </row>
    <row r="187" spans="1:13" ht="15.75">
      <c r="A187" s="17" t="s">
        <v>52</v>
      </c>
      <c r="B187" s="17" t="s">
        <v>44</v>
      </c>
      <c r="C187" s="17" t="s">
        <v>55</v>
      </c>
      <c r="D187" s="17" t="s">
        <v>46</v>
      </c>
      <c r="E187" s="17" t="s">
        <v>56</v>
      </c>
      <c r="F187" s="17">
        <v>52022</v>
      </c>
      <c r="G187" s="17">
        <v>1683</v>
      </c>
      <c r="H187" s="17">
        <v>66</v>
      </c>
      <c r="I187" s="17">
        <v>5316.04</v>
      </c>
      <c r="J187" s="17">
        <v>63261.95</v>
      </c>
      <c r="K187" s="18">
        <v>0</v>
      </c>
      <c r="L187" s="18">
        <v>0</v>
      </c>
      <c r="M187" s="18">
        <v>0</v>
      </c>
    </row>
    <row r="188" spans="1:13" ht="15.75">
      <c r="A188" s="17" t="s">
        <v>51</v>
      </c>
      <c r="B188" s="17" t="s">
        <v>43</v>
      </c>
      <c r="C188" s="17" t="s">
        <v>54</v>
      </c>
      <c r="D188" s="17" t="s">
        <v>40</v>
      </c>
      <c r="E188" s="17" t="s">
        <v>50</v>
      </c>
      <c r="F188" s="17">
        <v>37251</v>
      </c>
      <c r="G188" s="17">
        <v>440</v>
      </c>
      <c r="H188" s="17">
        <v>10</v>
      </c>
      <c r="I188" s="17">
        <v>6596.87</v>
      </c>
      <c r="J188" s="17">
        <v>7049.07</v>
      </c>
      <c r="K188" s="17">
        <v>206</v>
      </c>
      <c r="L188" s="17">
        <v>23</v>
      </c>
      <c r="M188" s="17">
        <v>9</v>
      </c>
    </row>
    <row r="189" spans="1:13" ht="15.75">
      <c r="A189" s="17" t="s">
        <v>42</v>
      </c>
      <c r="B189" s="17" t="s">
        <v>48</v>
      </c>
      <c r="C189" s="17" t="s">
        <v>45</v>
      </c>
      <c r="D189" s="17" t="s">
        <v>40</v>
      </c>
      <c r="E189" s="17" t="s">
        <v>50</v>
      </c>
      <c r="F189" s="17">
        <v>67629</v>
      </c>
      <c r="G189" s="17">
        <v>941</v>
      </c>
      <c r="H189" s="17">
        <v>10</v>
      </c>
      <c r="I189" s="17">
        <v>6639.6</v>
      </c>
      <c r="J189" s="17">
        <v>10194.11</v>
      </c>
      <c r="K189" s="17">
        <v>307</v>
      </c>
      <c r="L189" s="17">
        <v>54</v>
      </c>
      <c r="M189" s="17">
        <v>15</v>
      </c>
    </row>
    <row r="190" spans="1:13" ht="15.75">
      <c r="A190" s="17" t="s">
        <v>51</v>
      </c>
      <c r="B190" s="17" t="s">
        <v>44</v>
      </c>
      <c r="C190" s="17" t="s">
        <v>39</v>
      </c>
      <c r="D190" s="17" t="s">
        <v>40</v>
      </c>
      <c r="E190" s="17" t="s">
        <v>50</v>
      </c>
      <c r="F190" s="17">
        <v>61510</v>
      </c>
      <c r="G190" s="17">
        <v>468</v>
      </c>
      <c r="H190" s="17">
        <v>6</v>
      </c>
      <c r="I190" s="17">
        <v>8182.14</v>
      </c>
      <c r="J190" s="17">
        <v>7145.24</v>
      </c>
      <c r="K190" s="17">
        <v>221</v>
      </c>
      <c r="L190" s="17">
        <v>12</v>
      </c>
      <c r="M190" s="17">
        <v>11</v>
      </c>
    </row>
    <row r="191" spans="1:13" ht="15.75">
      <c r="A191" s="17" t="s">
        <v>37</v>
      </c>
      <c r="B191" s="17" t="s">
        <v>43</v>
      </c>
      <c r="C191" s="17" t="s">
        <v>55</v>
      </c>
      <c r="D191" s="17" t="s">
        <v>40</v>
      </c>
      <c r="E191" s="17" t="s">
        <v>50</v>
      </c>
      <c r="F191" s="17">
        <v>14874</v>
      </c>
      <c r="G191" s="17">
        <v>207</v>
      </c>
      <c r="H191" s="17">
        <v>5</v>
      </c>
      <c r="I191" s="17">
        <v>3305.47</v>
      </c>
      <c r="J191" s="17">
        <v>6643.53</v>
      </c>
      <c r="K191" s="17">
        <v>77</v>
      </c>
      <c r="L191" s="17">
        <v>4</v>
      </c>
      <c r="M191" s="17">
        <v>3</v>
      </c>
    </row>
    <row r="192" spans="1:13" ht="15.75">
      <c r="A192" s="17" t="s">
        <v>42</v>
      </c>
      <c r="B192" s="17" t="s">
        <v>43</v>
      </c>
      <c r="C192" s="17" t="s">
        <v>49</v>
      </c>
      <c r="D192" s="17" t="s">
        <v>46</v>
      </c>
      <c r="E192" s="17" t="s">
        <v>50</v>
      </c>
      <c r="F192" s="17">
        <v>20005</v>
      </c>
      <c r="G192" s="17">
        <v>176</v>
      </c>
      <c r="H192" s="17">
        <v>4</v>
      </c>
      <c r="I192" s="17">
        <v>8592.4599999999991</v>
      </c>
      <c r="J192" s="17">
        <v>3256.08</v>
      </c>
      <c r="K192" s="17">
        <v>61</v>
      </c>
      <c r="L192" s="17">
        <v>6</v>
      </c>
      <c r="M192" s="17">
        <v>2</v>
      </c>
    </row>
    <row r="193" spans="1:13" ht="15.75">
      <c r="A193" s="17" t="s">
        <v>52</v>
      </c>
      <c r="B193" s="17" t="s">
        <v>44</v>
      </c>
      <c r="C193" s="17" t="s">
        <v>55</v>
      </c>
      <c r="D193" s="17" t="s">
        <v>46</v>
      </c>
      <c r="E193" s="17" t="s">
        <v>56</v>
      </c>
      <c r="F193" s="17">
        <v>31061</v>
      </c>
      <c r="G193" s="18">
        <v>0</v>
      </c>
      <c r="H193" s="18">
        <v>0</v>
      </c>
      <c r="I193" s="17">
        <v>4243.71</v>
      </c>
      <c r="J193" s="18">
        <v>0</v>
      </c>
      <c r="K193" s="18">
        <v>0</v>
      </c>
      <c r="L193" s="18">
        <v>0</v>
      </c>
      <c r="M193" s="18">
        <v>0</v>
      </c>
    </row>
    <row r="194" spans="1:13" ht="15.75">
      <c r="A194" s="17" t="s">
        <v>37</v>
      </c>
      <c r="B194" s="17" t="s">
        <v>43</v>
      </c>
      <c r="C194" s="17" t="s">
        <v>54</v>
      </c>
      <c r="D194" s="17" t="s">
        <v>40</v>
      </c>
      <c r="E194" s="17" t="s">
        <v>47</v>
      </c>
      <c r="F194" s="17">
        <v>71003</v>
      </c>
      <c r="G194" s="17">
        <v>1020</v>
      </c>
      <c r="H194" s="17">
        <v>25</v>
      </c>
      <c r="I194" s="17">
        <v>7744.28</v>
      </c>
      <c r="J194" s="17">
        <v>16664.330000000002</v>
      </c>
      <c r="K194" s="17">
        <v>492</v>
      </c>
      <c r="L194" s="17">
        <v>40</v>
      </c>
      <c r="M194" s="17">
        <v>21</v>
      </c>
    </row>
    <row r="195" spans="1:13" ht="15.75">
      <c r="A195" s="17" t="s">
        <v>37</v>
      </c>
      <c r="B195" s="17" t="s">
        <v>38</v>
      </c>
      <c r="C195" s="17" t="s">
        <v>49</v>
      </c>
      <c r="D195" s="17" t="s">
        <v>40</v>
      </c>
      <c r="E195" s="17" t="s">
        <v>47</v>
      </c>
      <c r="F195" s="17">
        <v>32657</v>
      </c>
      <c r="G195" s="17">
        <v>361</v>
      </c>
      <c r="H195" s="18">
        <v>0</v>
      </c>
      <c r="I195" s="17">
        <v>4593.75</v>
      </c>
      <c r="J195" s="17">
        <v>2011.44</v>
      </c>
      <c r="K195" s="17">
        <v>109</v>
      </c>
      <c r="L195" s="17">
        <v>10</v>
      </c>
      <c r="M195" s="17">
        <v>9</v>
      </c>
    </row>
    <row r="196" spans="1:13" ht="15.75">
      <c r="A196" s="17" t="s">
        <v>52</v>
      </c>
      <c r="B196" s="17" t="s">
        <v>48</v>
      </c>
      <c r="C196" s="17" t="s">
        <v>49</v>
      </c>
      <c r="D196" s="17" t="s">
        <v>46</v>
      </c>
      <c r="E196" s="17" t="s">
        <v>56</v>
      </c>
      <c r="F196" s="17">
        <v>15233</v>
      </c>
      <c r="G196" s="17">
        <v>765</v>
      </c>
      <c r="H196" s="17">
        <v>22</v>
      </c>
      <c r="I196" s="18">
        <v>0</v>
      </c>
      <c r="J196" s="17">
        <v>24057.87</v>
      </c>
      <c r="K196" s="18">
        <v>0</v>
      </c>
      <c r="L196" s="18">
        <v>0</v>
      </c>
      <c r="M196" s="18">
        <v>0</v>
      </c>
    </row>
    <row r="197" spans="1:13" ht="15.75">
      <c r="A197" s="17" t="s">
        <v>37</v>
      </c>
      <c r="B197" s="17" t="s">
        <v>38</v>
      </c>
      <c r="C197" s="17" t="s">
        <v>55</v>
      </c>
      <c r="D197" s="17" t="s">
        <v>46</v>
      </c>
      <c r="E197" s="17" t="s">
        <v>41</v>
      </c>
      <c r="F197" s="17">
        <v>23226</v>
      </c>
      <c r="G197" s="17">
        <v>479</v>
      </c>
      <c r="H197" s="17">
        <v>16</v>
      </c>
      <c r="I197" s="17">
        <v>7472.97</v>
      </c>
      <c r="J197" s="17">
        <v>17304.02</v>
      </c>
      <c r="K197" s="17">
        <v>178</v>
      </c>
      <c r="L197" s="17">
        <v>13</v>
      </c>
      <c r="M197" s="17">
        <v>14</v>
      </c>
    </row>
    <row r="198" spans="1:13" ht="15.75">
      <c r="A198" s="17" t="s">
        <v>42</v>
      </c>
      <c r="B198" s="17" t="s">
        <v>43</v>
      </c>
      <c r="C198" s="17" t="s">
        <v>39</v>
      </c>
      <c r="D198" s="17" t="s">
        <v>46</v>
      </c>
      <c r="E198" s="17" t="s">
        <v>41</v>
      </c>
      <c r="F198" s="17">
        <v>24021</v>
      </c>
      <c r="G198" s="17">
        <v>289</v>
      </c>
      <c r="H198" s="17">
        <v>6</v>
      </c>
      <c r="I198" s="17">
        <v>3562.39</v>
      </c>
      <c r="J198" s="17">
        <v>6354.34</v>
      </c>
      <c r="K198" s="17">
        <v>96</v>
      </c>
      <c r="L198" s="17">
        <v>12</v>
      </c>
      <c r="M198" s="17">
        <v>10</v>
      </c>
    </row>
    <row r="199" spans="1:13" ht="15.75">
      <c r="A199" s="17" t="s">
        <v>52</v>
      </c>
      <c r="B199" s="17" t="s">
        <v>44</v>
      </c>
      <c r="C199" s="17" t="s">
        <v>55</v>
      </c>
      <c r="D199" s="17" t="s">
        <v>40</v>
      </c>
      <c r="E199" s="17" t="s">
        <v>56</v>
      </c>
      <c r="F199" s="17">
        <v>51501</v>
      </c>
      <c r="G199" s="17">
        <v>1796</v>
      </c>
      <c r="H199" s="17">
        <v>66</v>
      </c>
      <c r="I199" s="17">
        <v>3342.26</v>
      </c>
      <c r="J199" s="17">
        <v>41326.99</v>
      </c>
      <c r="K199" s="18">
        <v>0</v>
      </c>
      <c r="L199" s="18">
        <v>0</v>
      </c>
      <c r="M199" s="18">
        <v>0</v>
      </c>
    </row>
    <row r="200" spans="1:13" ht="15.75">
      <c r="A200" s="17" t="s">
        <v>52</v>
      </c>
      <c r="B200" s="17" t="s">
        <v>43</v>
      </c>
      <c r="C200" s="17" t="s">
        <v>54</v>
      </c>
      <c r="D200" s="17" t="s">
        <v>46</v>
      </c>
      <c r="E200" s="17" t="s">
        <v>53</v>
      </c>
      <c r="F200" s="17">
        <v>79925</v>
      </c>
      <c r="G200" s="18">
        <v>0</v>
      </c>
      <c r="H200" s="17">
        <v>133</v>
      </c>
      <c r="I200" s="17">
        <v>3773.87</v>
      </c>
      <c r="J200" s="17">
        <v>97186.78</v>
      </c>
      <c r="K200" s="18">
        <v>0</v>
      </c>
      <c r="L200" s="18">
        <v>0</v>
      </c>
      <c r="M200" s="18">
        <v>0</v>
      </c>
    </row>
    <row r="201" spans="1:13" ht="15.75">
      <c r="A201" s="17" t="s">
        <v>42</v>
      </c>
      <c r="B201" s="17" t="s">
        <v>48</v>
      </c>
      <c r="C201" s="17" t="s">
        <v>39</v>
      </c>
      <c r="D201" s="17" t="s">
        <v>40</v>
      </c>
      <c r="E201" s="17" t="s">
        <v>41</v>
      </c>
      <c r="F201" s="17">
        <v>10072</v>
      </c>
      <c r="G201" s="17">
        <v>124</v>
      </c>
      <c r="H201" s="17">
        <v>2</v>
      </c>
      <c r="I201" s="17">
        <v>7557.19</v>
      </c>
      <c r="J201" s="17">
        <v>1971.51</v>
      </c>
      <c r="K201" s="17">
        <v>56</v>
      </c>
      <c r="L201" s="17">
        <v>4</v>
      </c>
      <c r="M201" s="17">
        <v>4</v>
      </c>
    </row>
    <row r="202" spans="1:13" ht="15.75">
      <c r="A202" s="17" t="s">
        <v>51</v>
      </c>
      <c r="B202" s="17" t="s">
        <v>38</v>
      </c>
      <c r="C202" s="17" t="s">
        <v>55</v>
      </c>
      <c r="D202" s="17" t="s">
        <v>40</v>
      </c>
      <c r="E202" s="17" t="s">
        <v>50</v>
      </c>
      <c r="F202" s="17">
        <v>63429</v>
      </c>
      <c r="G202" s="17">
        <v>419</v>
      </c>
      <c r="H202" s="17">
        <v>7</v>
      </c>
      <c r="I202" s="17">
        <v>7560.63</v>
      </c>
      <c r="J202" s="17">
        <v>3608.08</v>
      </c>
      <c r="K202" s="17">
        <v>172</v>
      </c>
      <c r="L202" s="17">
        <v>11</v>
      </c>
      <c r="M202" s="17">
        <v>13</v>
      </c>
    </row>
    <row r="203" spans="1:13" ht="15.75">
      <c r="A203" s="17" t="s">
        <v>42</v>
      </c>
      <c r="B203" s="17" t="s">
        <v>44</v>
      </c>
      <c r="C203" s="17" t="s">
        <v>45</v>
      </c>
      <c r="D203" s="17" t="s">
        <v>40</v>
      </c>
      <c r="E203" s="17" t="s">
        <v>47</v>
      </c>
      <c r="F203" s="17">
        <v>31163</v>
      </c>
      <c r="G203" s="17">
        <v>290</v>
      </c>
      <c r="H203" s="17">
        <v>10</v>
      </c>
      <c r="I203" s="17">
        <v>2684.43</v>
      </c>
      <c r="J203" s="17">
        <v>13804.62</v>
      </c>
      <c r="K203" s="17">
        <v>143</v>
      </c>
      <c r="L203" s="17">
        <v>7</v>
      </c>
      <c r="M203" s="17">
        <v>8</v>
      </c>
    </row>
    <row r="204" spans="1:13" ht="15.75">
      <c r="A204" s="17" t="s">
        <v>51</v>
      </c>
      <c r="B204" s="17" t="s">
        <v>48</v>
      </c>
      <c r="C204" s="17" t="s">
        <v>49</v>
      </c>
      <c r="D204" s="17" t="s">
        <v>46</v>
      </c>
      <c r="E204" s="17" t="s">
        <v>50</v>
      </c>
      <c r="F204" s="17">
        <v>45189</v>
      </c>
      <c r="G204" s="17">
        <v>533</v>
      </c>
      <c r="H204" s="17">
        <v>8</v>
      </c>
      <c r="I204" s="17">
        <v>8194.32</v>
      </c>
      <c r="J204" s="17">
        <v>6642.25</v>
      </c>
      <c r="K204" s="17">
        <v>228</v>
      </c>
      <c r="L204" s="17">
        <v>25</v>
      </c>
      <c r="M204" s="17">
        <v>6</v>
      </c>
    </row>
    <row r="205" spans="1:13" ht="15.75">
      <c r="A205" s="17" t="s">
        <v>52</v>
      </c>
      <c r="B205" s="17" t="s">
        <v>44</v>
      </c>
      <c r="C205" s="17" t="s">
        <v>49</v>
      </c>
      <c r="D205" s="17" t="s">
        <v>46</v>
      </c>
      <c r="E205" s="17" t="s">
        <v>53</v>
      </c>
      <c r="F205" s="17">
        <v>66694</v>
      </c>
      <c r="G205" s="17">
        <v>1247</v>
      </c>
      <c r="H205" s="17">
        <v>36</v>
      </c>
      <c r="I205" s="17">
        <v>2966.25</v>
      </c>
      <c r="J205" s="17">
        <v>19105.2</v>
      </c>
      <c r="K205" s="18">
        <v>0</v>
      </c>
      <c r="L205" s="18">
        <v>0</v>
      </c>
      <c r="M205" s="18">
        <v>0</v>
      </c>
    </row>
    <row r="206" spans="1:13" ht="15.75">
      <c r="A206" s="17" t="s">
        <v>42</v>
      </c>
      <c r="B206" s="17" t="s">
        <v>44</v>
      </c>
      <c r="C206" s="17" t="s">
        <v>54</v>
      </c>
      <c r="D206" s="17" t="s">
        <v>46</v>
      </c>
      <c r="E206" s="17" t="s">
        <v>41</v>
      </c>
      <c r="F206" s="17">
        <v>54851</v>
      </c>
      <c r="G206" s="17">
        <v>506</v>
      </c>
      <c r="H206" s="17">
        <v>5</v>
      </c>
      <c r="I206" s="17">
        <v>8323.66</v>
      </c>
      <c r="J206" s="17">
        <v>4254.3999999999996</v>
      </c>
      <c r="K206" s="17">
        <v>243</v>
      </c>
      <c r="L206" s="17">
        <v>28</v>
      </c>
      <c r="M206" s="17">
        <v>9</v>
      </c>
    </row>
    <row r="207" spans="1:13" ht="15.75">
      <c r="A207" s="17" t="s">
        <v>42</v>
      </c>
      <c r="B207" s="17" t="s">
        <v>44</v>
      </c>
      <c r="C207" s="17" t="s">
        <v>49</v>
      </c>
      <c r="D207" s="17" t="s">
        <v>46</v>
      </c>
      <c r="E207" s="17" t="s">
        <v>41</v>
      </c>
      <c r="F207" s="17">
        <v>39736</v>
      </c>
      <c r="G207" s="17">
        <v>196</v>
      </c>
      <c r="H207" s="17">
        <v>3</v>
      </c>
      <c r="I207" s="17">
        <v>7190.1</v>
      </c>
      <c r="J207" s="17">
        <v>3421.38</v>
      </c>
      <c r="K207" s="17">
        <v>60</v>
      </c>
      <c r="L207" s="17">
        <v>8</v>
      </c>
      <c r="M207" s="17">
        <v>7</v>
      </c>
    </row>
    <row r="208" spans="1:13" ht="15.75">
      <c r="A208" s="17" t="s">
        <v>51</v>
      </c>
      <c r="B208" s="17" t="s">
        <v>43</v>
      </c>
      <c r="C208" s="17" t="s">
        <v>49</v>
      </c>
      <c r="D208" s="17" t="s">
        <v>46</v>
      </c>
      <c r="E208" s="17" t="s">
        <v>50</v>
      </c>
      <c r="F208" s="17">
        <v>34895</v>
      </c>
      <c r="G208" s="17">
        <v>433</v>
      </c>
      <c r="H208" s="17">
        <v>9</v>
      </c>
      <c r="I208" s="17">
        <v>6812.39</v>
      </c>
      <c r="J208" s="17">
        <v>8144.17</v>
      </c>
      <c r="K208" s="17">
        <v>197</v>
      </c>
      <c r="L208" s="17">
        <v>22</v>
      </c>
      <c r="M208" s="17">
        <v>6</v>
      </c>
    </row>
    <row r="209" spans="1:13" ht="15.75">
      <c r="A209" s="17" t="s">
        <v>37</v>
      </c>
      <c r="B209" s="17" t="s">
        <v>48</v>
      </c>
      <c r="C209" s="17" t="s">
        <v>55</v>
      </c>
      <c r="D209" s="17" t="s">
        <v>40</v>
      </c>
      <c r="E209" s="17" t="s">
        <v>50</v>
      </c>
      <c r="F209" s="17">
        <v>24667</v>
      </c>
      <c r="G209" s="17">
        <v>305</v>
      </c>
      <c r="H209" s="17">
        <v>11</v>
      </c>
      <c r="I209" s="17">
        <v>2447.6799999999998</v>
      </c>
      <c r="J209" s="17">
        <v>15808.85</v>
      </c>
      <c r="K209" s="17">
        <v>120</v>
      </c>
      <c r="L209" s="17">
        <v>11</v>
      </c>
      <c r="M209" s="17">
        <v>9</v>
      </c>
    </row>
    <row r="210" spans="1:13" ht="15.75">
      <c r="A210" s="17" t="s">
        <v>51</v>
      </c>
      <c r="B210" s="17" t="s">
        <v>38</v>
      </c>
      <c r="C210" s="17" t="s">
        <v>55</v>
      </c>
      <c r="D210" s="17" t="s">
        <v>40</v>
      </c>
      <c r="E210" s="17" t="s">
        <v>50</v>
      </c>
      <c r="F210" s="18">
        <v>0</v>
      </c>
      <c r="G210" s="17">
        <v>789</v>
      </c>
      <c r="H210" s="17">
        <v>15</v>
      </c>
      <c r="I210" s="17">
        <v>4667.92</v>
      </c>
      <c r="J210" s="17">
        <v>13107.88</v>
      </c>
      <c r="K210" s="17">
        <v>242</v>
      </c>
      <c r="L210" s="17">
        <v>23</v>
      </c>
      <c r="M210" s="17">
        <v>28</v>
      </c>
    </row>
    <row r="211" spans="1:13" ht="15.75">
      <c r="A211" s="17" t="s">
        <v>42</v>
      </c>
      <c r="B211" s="17" t="s">
        <v>38</v>
      </c>
      <c r="C211" s="17" t="s">
        <v>39</v>
      </c>
      <c r="D211" s="17" t="s">
        <v>40</v>
      </c>
      <c r="E211" s="17" t="s">
        <v>41</v>
      </c>
      <c r="F211" s="17">
        <v>56807</v>
      </c>
      <c r="G211" s="17">
        <v>277</v>
      </c>
      <c r="H211" s="17">
        <v>8</v>
      </c>
      <c r="I211" s="17">
        <v>6488.46</v>
      </c>
      <c r="J211" s="17">
        <v>10381.73</v>
      </c>
      <c r="K211" s="17">
        <v>99</v>
      </c>
      <c r="L211" s="17">
        <v>6</v>
      </c>
      <c r="M211" s="17">
        <v>10</v>
      </c>
    </row>
    <row r="212" spans="1:13" ht="15.75">
      <c r="A212" s="17" t="s">
        <v>51</v>
      </c>
      <c r="B212" s="17" t="s">
        <v>38</v>
      </c>
      <c r="C212" s="17" t="s">
        <v>55</v>
      </c>
      <c r="D212" s="17" t="s">
        <v>46</v>
      </c>
      <c r="E212" s="17" t="s">
        <v>50</v>
      </c>
      <c r="F212" s="17">
        <v>67338</v>
      </c>
      <c r="G212" s="17">
        <v>732</v>
      </c>
      <c r="H212" s="17">
        <v>7</v>
      </c>
      <c r="I212" s="17">
        <v>3330.45</v>
      </c>
      <c r="J212" s="17">
        <v>5878.63</v>
      </c>
      <c r="K212" s="17">
        <v>325</v>
      </c>
      <c r="L212" s="17">
        <v>33</v>
      </c>
      <c r="M212" s="17">
        <v>28</v>
      </c>
    </row>
    <row r="213" spans="1:13" ht="15.75">
      <c r="A213" s="17" t="s">
        <v>37</v>
      </c>
      <c r="B213" s="17" t="s">
        <v>38</v>
      </c>
      <c r="C213" s="17" t="s">
        <v>39</v>
      </c>
      <c r="D213" s="17" t="s">
        <v>46</v>
      </c>
      <c r="E213" s="17" t="s">
        <v>50</v>
      </c>
      <c r="F213" s="17">
        <v>44519</v>
      </c>
      <c r="G213" s="17">
        <v>825</v>
      </c>
      <c r="H213" s="17">
        <v>19</v>
      </c>
      <c r="I213" s="17">
        <v>7929.83</v>
      </c>
      <c r="J213" s="17">
        <v>21827.07</v>
      </c>
      <c r="K213" s="17">
        <v>361</v>
      </c>
      <c r="L213" s="17">
        <v>48</v>
      </c>
      <c r="M213" s="17">
        <v>14</v>
      </c>
    </row>
    <row r="214" spans="1:13" ht="15.75">
      <c r="A214" s="17" t="s">
        <v>37</v>
      </c>
      <c r="B214" s="17" t="s">
        <v>44</v>
      </c>
      <c r="C214" s="17" t="s">
        <v>49</v>
      </c>
      <c r="D214" s="17" t="s">
        <v>40</v>
      </c>
      <c r="E214" s="17" t="s">
        <v>50</v>
      </c>
      <c r="F214" s="17">
        <v>79743</v>
      </c>
      <c r="G214" s="17">
        <v>1577</v>
      </c>
      <c r="H214" s="17">
        <v>53</v>
      </c>
      <c r="I214" s="18">
        <v>0</v>
      </c>
      <c r="J214" s="17">
        <v>47934.32</v>
      </c>
      <c r="K214" s="17">
        <v>512</v>
      </c>
      <c r="L214" s="17">
        <v>84</v>
      </c>
      <c r="M214" s="17">
        <v>23</v>
      </c>
    </row>
    <row r="215" spans="1:13" ht="15.75">
      <c r="A215" s="17" t="s">
        <v>52</v>
      </c>
      <c r="B215" s="17" t="s">
        <v>44</v>
      </c>
      <c r="C215" s="17" t="s">
        <v>55</v>
      </c>
      <c r="D215" s="17" t="s">
        <v>40</v>
      </c>
      <c r="E215" s="17" t="s">
        <v>53</v>
      </c>
      <c r="F215" s="17">
        <v>37999</v>
      </c>
      <c r="G215" s="17">
        <v>361</v>
      </c>
      <c r="H215" s="17">
        <v>14</v>
      </c>
      <c r="I215" s="17">
        <v>6341.86</v>
      </c>
      <c r="J215" s="17">
        <v>8578.93</v>
      </c>
      <c r="K215" s="18">
        <v>0</v>
      </c>
      <c r="L215" s="18">
        <v>0</v>
      </c>
      <c r="M215" s="18">
        <v>0</v>
      </c>
    </row>
    <row r="216" spans="1:13" ht="15.75">
      <c r="A216" s="17" t="s">
        <v>42</v>
      </c>
      <c r="B216" s="17" t="s">
        <v>38</v>
      </c>
      <c r="C216" s="17" t="s">
        <v>55</v>
      </c>
      <c r="D216" s="17" t="s">
        <v>40</v>
      </c>
      <c r="E216" s="17" t="s">
        <v>47</v>
      </c>
      <c r="F216" s="17">
        <v>70879</v>
      </c>
      <c r="G216" s="17">
        <v>852</v>
      </c>
      <c r="H216" s="17">
        <v>22</v>
      </c>
      <c r="I216" s="17">
        <v>6662.85</v>
      </c>
      <c r="J216" s="17">
        <v>16520.12</v>
      </c>
      <c r="K216" s="17">
        <v>405</v>
      </c>
      <c r="L216" s="17">
        <v>26</v>
      </c>
      <c r="M216" s="17">
        <v>26</v>
      </c>
    </row>
    <row r="217" spans="1:13" ht="15.75">
      <c r="A217" s="17" t="s">
        <v>42</v>
      </c>
      <c r="B217" s="17" t="s">
        <v>38</v>
      </c>
      <c r="C217" s="17" t="s">
        <v>45</v>
      </c>
      <c r="D217" s="17" t="s">
        <v>40</v>
      </c>
      <c r="E217" s="17" t="s">
        <v>47</v>
      </c>
      <c r="F217" s="17">
        <v>12248</v>
      </c>
      <c r="G217" s="17">
        <v>59</v>
      </c>
      <c r="H217" s="18">
        <v>0</v>
      </c>
      <c r="I217" s="17">
        <v>6021.55</v>
      </c>
      <c r="J217" s="18">
        <v>0</v>
      </c>
      <c r="K217" s="17">
        <v>25</v>
      </c>
      <c r="L217" s="17">
        <v>3</v>
      </c>
      <c r="M217" s="17">
        <v>1</v>
      </c>
    </row>
    <row r="218" spans="1:13" ht="15.75">
      <c r="A218" s="17" t="s">
        <v>42</v>
      </c>
      <c r="B218" s="17" t="s">
        <v>44</v>
      </c>
      <c r="C218" s="17" t="s">
        <v>45</v>
      </c>
      <c r="D218" s="17" t="s">
        <v>40</v>
      </c>
      <c r="E218" s="17" t="s">
        <v>41</v>
      </c>
      <c r="F218" s="17">
        <v>29498</v>
      </c>
      <c r="G218" s="17">
        <v>295</v>
      </c>
      <c r="H218" s="17">
        <v>5</v>
      </c>
      <c r="I218" s="17">
        <v>3973.39</v>
      </c>
      <c r="J218" s="17">
        <v>7365.26</v>
      </c>
      <c r="K218" s="17">
        <v>100</v>
      </c>
      <c r="L218" s="17">
        <v>11</v>
      </c>
      <c r="M218" s="17">
        <v>6</v>
      </c>
    </row>
    <row r="219" spans="1:13" ht="15.75">
      <c r="A219" s="17" t="s">
        <v>52</v>
      </c>
      <c r="B219" s="17" t="s">
        <v>44</v>
      </c>
      <c r="C219" s="17" t="s">
        <v>39</v>
      </c>
      <c r="D219" s="17" t="s">
        <v>40</v>
      </c>
      <c r="E219" s="17" t="s">
        <v>56</v>
      </c>
      <c r="F219" s="17">
        <v>70404</v>
      </c>
      <c r="G219" s="17">
        <v>820</v>
      </c>
      <c r="H219" s="17">
        <v>27</v>
      </c>
      <c r="I219" s="17">
        <v>6201.59</v>
      </c>
      <c r="J219" s="17">
        <v>36349.4</v>
      </c>
      <c r="K219" s="18">
        <v>0</v>
      </c>
      <c r="L219" s="18">
        <v>0</v>
      </c>
      <c r="M219" s="18">
        <v>0</v>
      </c>
    </row>
    <row r="220" spans="1:13" ht="15.75">
      <c r="A220" s="17" t="s">
        <v>51</v>
      </c>
      <c r="B220" s="17" t="s">
        <v>43</v>
      </c>
      <c r="C220" s="17" t="s">
        <v>39</v>
      </c>
      <c r="D220" s="17" t="s">
        <v>46</v>
      </c>
      <c r="E220" s="17" t="s">
        <v>50</v>
      </c>
      <c r="F220" s="17">
        <v>76535</v>
      </c>
      <c r="G220" s="17">
        <v>1006</v>
      </c>
      <c r="H220" s="17">
        <v>9</v>
      </c>
      <c r="I220" s="17">
        <v>4044.64</v>
      </c>
      <c r="J220" s="17">
        <v>7213.38</v>
      </c>
      <c r="K220" s="17">
        <v>360</v>
      </c>
      <c r="L220" s="17">
        <v>39</v>
      </c>
      <c r="M220" s="17">
        <v>29</v>
      </c>
    </row>
    <row r="221" spans="1:13" ht="15.75">
      <c r="A221" s="17" t="s">
        <v>51</v>
      </c>
      <c r="B221" s="17" t="s">
        <v>38</v>
      </c>
      <c r="C221" s="17" t="s">
        <v>49</v>
      </c>
      <c r="D221" s="17" t="s">
        <v>46</v>
      </c>
      <c r="E221" s="17" t="s">
        <v>50</v>
      </c>
      <c r="F221" s="17">
        <v>35818</v>
      </c>
      <c r="G221" s="17">
        <v>283</v>
      </c>
      <c r="H221" s="17">
        <v>6</v>
      </c>
      <c r="I221" s="17">
        <v>5594.28</v>
      </c>
      <c r="J221" s="17">
        <v>6048.82</v>
      </c>
      <c r="K221" s="17">
        <v>134</v>
      </c>
      <c r="L221" s="17">
        <v>11</v>
      </c>
      <c r="M221" s="17">
        <v>10</v>
      </c>
    </row>
    <row r="222" spans="1:13" ht="15.75">
      <c r="A222" s="17" t="s">
        <v>37</v>
      </c>
      <c r="B222" s="17" t="s">
        <v>48</v>
      </c>
      <c r="C222" s="17" t="s">
        <v>39</v>
      </c>
      <c r="D222" s="17" t="s">
        <v>40</v>
      </c>
      <c r="E222" s="17" t="s">
        <v>50</v>
      </c>
      <c r="F222" s="17">
        <v>54983</v>
      </c>
      <c r="G222" s="17">
        <v>850</v>
      </c>
      <c r="H222" s="17">
        <v>36</v>
      </c>
      <c r="I222" s="17">
        <v>6505.56</v>
      </c>
      <c r="J222" s="17">
        <v>45315.839999999997</v>
      </c>
      <c r="K222" s="17">
        <v>294</v>
      </c>
      <c r="L222" s="17">
        <v>43</v>
      </c>
      <c r="M222" s="17">
        <v>28</v>
      </c>
    </row>
    <row r="223" spans="1:13" ht="15.75">
      <c r="A223" s="17" t="s">
        <v>37</v>
      </c>
      <c r="B223" s="17" t="s">
        <v>38</v>
      </c>
      <c r="C223" s="17" t="s">
        <v>45</v>
      </c>
      <c r="D223" s="17" t="s">
        <v>46</v>
      </c>
      <c r="E223" s="17" t="s">
        <v>41</v>
      </c>
      <c r="F223" s="17">
        <v>14364</v>
      </c>
      <c r="G223" s="18">
        <v>0</v>
      </c>
      <c r="H223" s="17">
        <v>4</v>
      </c>
      <c r="I223" s="17">
        <v>5050.9399999999996</v>
      </c>
      <c r="J223" s="17">
        <v>5277.65</v>
      </c>
      <c r="K223" s="17">
        <v>79</v>
      </c>
      <c r="L223" s="17">
        <v>4</v>
      </c>
      <c r="M223" s="17">
        <v>3</v>
      </c>
    </row>
    <row r="224" spans="1:13" ht="15.75">
      <c r="A224" s="17" t="s">
        <v>51</v>
      </c>
      <c r="B224" s="17" t="s">
        <v>44</v>
      </c>
      <c r="C224" s="17" t="s">
        <v>55</v>
      </c>
      <c r="D224" s="17" t="s">
        <v>40</v>
      </c>
      <c r="E224" s="17" t="s">
        <v>50</v>
      </c>
      <c r="F224" s="18">
        <v>0</v>
      </c>
      <c r="G224" s="17">
        <v>331</v>
      </c>
      <c r="H224" s="17">
        <v>3</v>
      </c>
      <c r="I224" s="17">
        <v>8945.34</v>
      </c>
      <c r="J224" s="17">
        <v>1599.87</v>
      </c>
      <c r="K224" s="17">
        <v>128</v>
      </c>
      <c r="L224" s="17">
        <v>14</v>
      </c>
      <c r="M224" s="17">
        <v>9</v>
      </c>
    </row>
    <row r="225" spans="1:13" ht="15.75">
      <c r="A225" s="17" t="s">
        <v>42</v>
      </c>
      <c r="B225" s="17" t="s">
        <v>44</v>
      </c>
      <c r="C225" s="17" t="s">
        <v>55</v>
      </c>
      <c r="D225" s="17" t="s">
        <v>40</v>
      </c>
      <c r="E225" s="17" t="s">
        <v>41</v>
      </c>
      <c r="F225" s="17">
        <v>70386</v>
      </c>
      <c r="G225" s="17">
        <v>97</v>
      </c>
      <c r="H225" s="17">
        <v>2</v>
      </c>
      <c r="I225" s="17">
        <v>8192.19</v>
      </c>
      <c r="J225" s="17">
        <v>1634.68</v>
      </c>
      <c r="K225" s="17">
        <v>37</v>
      </c>
      <c r="L225" s="17">
        <v>2</v>
      </c>
      <c r="M225" s="17">
        <v>1</v>
      </c>
    </row>
    <row r="226" spans="1:13" ht="15.75">
      <c r="A226" s="17" t="s">
        <v>42</v>
      </c>
      <c r="B226" s="17" t="s">
        <v>44</v>
      </c>
      <c r="C226" s="17" t="s">
        <v>55</v>
      </c>
      <c r="D226" s="17" t="s">
        <v>46</v>
      </c>
      <c r="E226" s="17" t="s">
        <v>41</v>
      </c>
      <c r="F226" s="17">
        <v>74227</v>
      </c>
      <c r="G226" s="17">
        <v>843</v>
      </c>
      <c r="H226" s="17">
        <v>15</v>
      </c>
      <c r="I226" s="17">
        <v>2055.4499999999998</v>
      </c>
      <c r="J226" s="18">
        <v>0</v>
      </c>
      <c r="K226" s="17">
        <v>370</v>
      </c>
      <c r="L226" s="17">
        <v>48</v>
      </c>
      <c r="M226" s="17">
        <v>29</v>
      </c>
    </row>
    <row r="227" spans="1:13" ht="15.75">
      <c r="A227" s="17" t="s">
        <v>42</v>
      </c>
      <c r="B227" s="17" t="s">
        <v>43</v>
      </c>
      <c r="C227" s="17" t="s">
        <v>45</v>
      </c>
      <c r="D227" s="17" t="s">
        <v>40</v>
      </c>
      <c r="E227" s="17" t="s">
        <v>41</v>
      </c>
      <c r="F227" s="17">
        <v>58847</v>
      </c>
      <c r="G227" s="17">
        <v>982</v>
      </c>
      <c r="H227" s="17">
        <v>21</v>
      </c>
      <c r="I227" s="17">
        <v>6827.73</v>
      </c>
      <c r="J227" s="17">
        <v>21252.1</v>
      </c>
      <c r="K227" s="17">
        <v>350</v>
      </c>
      <c r="L227" s="17">
        <v>38</v>
      </c>
      <c r="M227" s="17">
        <v>18</v>
      </c>
    </row>
    <row r="228" spans="1:13" ht="15.75">
      <c r="A228" s="17" t="s">
        <v>52</v>
      </c>
      <c r="B228" s="17" t="s">
        <v>38</v>
      </c>
      <c r="C228" s="17" t="s">
        <v>55</v>
      </c>
      <c r="D228" s="17" t="s">
        <v>46</v>
      </c>
      <c r="E228" s="17" t="s">
        <v>53</v>
      </c>
      <c r="F228" s="17">
        <v>22757</v>
      </c>
      <c r="G228" s="17">
        <v>364</v>
      </c>
      <c r="H228" s="17">
        <v>9</v>
      </c>
      <c r="I228" s="17">
        <v>8441.68</v>
      </c>
      <c r="J228" s="17">
        <v>9536.85</v>
      </c>
      <c r="K228" s="18">
        <v>0</v>
      </c>
      <c r="L228" s="18">
        <v>0</v>
      </c>
      <c r="M228" s="18">
        <v>0</v>
      </c>
    </row>
    <row r="229" spans="1:13" ht="15.75">
      <c r="A229" s="17" t="s">
        <v>37</v>
      </c>
      <c r="B229" s="17" t="s">
        <v>48</v>
      </c>
      <c r="C229" s="17" t="s">
        <v>49</v>
      </c>
      <c r="D229" s="17" t="s">
        <v>40</v>
      </c>
      <c r="E229" s="17" t="s">
        <v>50</v>
      </c>
      <c r="F229" s="17">
        <v>11685</v>
      </c>
      <c r="G229" s="17">
        <v>86</v>
      </c>
      <c r="H229" s="18">
        <v>0</v>
      </c>
      <c r="I229" s="17">
        <v>5139.76</v>
      </c>
      <c r="J229" s="17">
        <v>3422</v>
      </c>
      <c r="K229" s="17">
        <v>26</v>
      </c>
      <c r="L229" s="17">
        <v>4</v>
      </c>
      <c r="M229" s="17">
        <v>2</v>
      </c>
    </row>
    <row r="230" spans="1:13" ht="15.75">
      <c r="A230" s="17" t="s">
        <v>42</v>
      </c>
      <c r="B230" s="17" t="s">
        <v>44</v>
      </c>
      <c r="C230" s="17" t="s">
        <v>39</v>
      </c>
      <c r="D230" s="17" t="s">
        <v>46</v>
      </c>
      <c r="E230" s="17" t="s">
        <v>47</v>
      </c>
      <c r="F230" s="17">
        <v>59374</v>
      </c>
      <c r="G230" s="17">
        <v>572</v>
      </c>
      <c r="H230" s="17">
        <v>6</v>
      </c>
      <c r="I230" s="17">
        <v>5662.4</v>
      </c>
      <c r="J230" s="17">
        <v>5013.08</v>
      </c>
      <c r="K230" s="17">
        <v>206</v>
      </c>
      <c r="L230" s="17">
        <v>13</v>
      </c>
      <c r="M230" s="17">
        <v>12</v>
      </c>
    </row>
    <row r="231" spans="1:13" ht="15.75">
      <c r="A231" s="17" t="s">
        <v>37</v>
      </c>
      <c r="B231" s="17" t="s">
        <v>43</v>
      </c>
      <c r="C231" s="17" t="s">
        <v>49</v>
      </c>
      <c r="D231" s="17" t="s">
        <v>40</v>
      </c>
      <c r="E231" s="17" t="s">
        <v>50</v>
      </c>
      <c r="F231" s="17">
        <v>78404</v>
      </c>
      <c r="G231" s="17">
        <v>1076</v>
      </c>
      <c r="H231" s="17">
        <v>30</v>
      </c>
      <c r="I231" s="17">
        <v>6085.71</v>
      </c>
      <c r="J231" s="17">
        <v>35523.129999999997</v>
      </c>
      <c r="K231" s="17">
        <v>434</v>
      </c>
      <c r="L231" s="17">
        <v>29</v>
      </c>
      <c r="M231" s="17">
        <v>14</v>
      </c>
    </row>
    <row r="232" spans="1:13" ht="15.75">
      <c r="A232" s="17" t="s">
        <v>37</v>
      </c>
      <c r="B232" s="17" t="s">
        <v>48</v>
      </c>
      <c r="C232" s="17" t="s">
        <v>54</v>
      </c>
      <c r="D232" s="17" t="s">
        <v>46</v>
      </c>
      <c r="E232" s="17" t="s">
        <v>50</v>
      </c>
      <c r="F232" s="17">
        <v>62355</v>
      </c>
      <c r="G232" s="17">
        <v>526</v>
      </c>
      <c r="H232" s="17">
        <v>17</v>
      </c>
      <c r="I232" s="17">
        <v>2909.88</v>
      </c>
      <c r="J232" s="17">
        <v>9554.51</v>
      </c>
      <c r="K232" s="17">
        <v>232</v>
      </c>
      <c r="L232" s="17">
        <v>26</v>
      </c>
      <c r="M232" s="17">
        <v>19</v>
      </c>
    </row>
    <row r="233" spans="1:13" ht="15.75">
      <c r="A233" s="17" t="s">
        <v>42</v>
      </c>
      <c r="B233" s="17" t="s">
        <v>38</v>
      </c>
      <c r="C233" s="17" t="s">
        <v>49</v>
      </c>
      <c r="D233" s="17" t="s">
        <v>46</v>
      </c>
      <c r="E233" s="17" t="s">
        <v>47</v>
      </c>
      <c r="F233" s="17">
        <v>15297</v>
      </c>
      <c r="G233" s="17">
        <v>151</v>
      </c>
      <c r="H233" s="17">
        <v>3</v>
      </c>
      <c r="I233" s="17">
        <v>7369.58</v>
      </c>
      <c r="J233" s="17">
        <v>3549.07</v>
      </c>
      <c r="K233" s="17">
        <v>61</v>
      </c>
      <c r="L233" s="17">
        <v>7</v>
      </c>
      <c r="M233" s="17">
        <v>4</v>
      </c>
    </row>
    <row r="234" spans="1:13" ht="15.75">
      <c r="A234" s="17" t="s">
        <v>52</v>
      </c>
      <c r="B234" s="17" t="s">
        <v>48</v>
      </c>
      <c r="C234" s="17" t="s">
        <v>54</v>
      </c>
      <c r="D234" s="17" t="s">
        <v>46</v>
      </c>
      <c r="E234" s="17" t="s">
        <v>56</v>
      </c>
      <c r="F234" s="17">
        <v>51513</v>
      </c>
      <c r="G234" s="17">
        <v>1686</v>
      </c>
      <c r="H234" s="17">
        <v>85</v>
      </c>
      <c r="I234" s="17">
        <v>7478.37</v>
      </c>
      <c r="J234" s="17">
        <v>62486</v>
      </c>
      <c r="K234" s="18">
        <v>0</v>
      </c>
      <c r="L234" s="18">
        <v>0</v>
      </c>
      <c r="M234" s="18">
        <v>0</v>
      </c>
    </row>
    <row r="235" spans="1:13" ht="15.75">
      <c r="A235" s="17" t="s">
        <v>51</v>
      </c>
      <c r="B235" s="17" t="s">
        <v>43</v>
      </c>
      <c r="C235" s="17" t="s">
        <v>39</v>
      </c>
      <c r="D235" s="17" t="s">
        <v>40</v>
      </c>
      <c r="E235" s="17" t="s">
        <v>50</v>
      </c>
      <c r="F235" s="17">
        <v>51577</v>
      </c>
      <c r="G235" s="17">
        <v>668</v>
      </c>
      <c r="H235" s="17">
        <v>11</v>
      </c>
      <c r="I235" s="17">
        <v>6656.28</v>
      </c>
      <c r="J235" s="17">
        <v>14258.43</v>
      </c>
      <c r="K235" s="17">
        <v>253</v>
      </c>
      <c r="L235" s="17">
        <v>31</v>
      </c>
      <c r="M235" s="17">
        <v>18</v>
      </c>
    </row>
    <row r="236" spans="1:13" ht="15.75">
      <c r="A236" s="17" t="s">
        <v>42</v>
      </c>
      <c r="B236" s="17" t="s">
        <v>48</v>
      </c>
      <c r="C236" s="17" t="s">
        <v>39</v>
      </c>
      <c r="D236" s="17" t="s">
        <v>40</v>
      </c>
      <c r="E236" s="17" t="s">
        <v>50</v>
      </c>
      <c r="F236" s="17">
        <v>68028</v>
      </c>
      <c r="G236" s="17">
        <v>704</v>
      </c>
      <c r="H236" s="17">
        <v>18</v>
      </c>
      <c r="I236" s="17">
        <v>3505.76</v>
      </c>
      <c r="J236" s="17">
        <v>24608.66</v>
      </c>
      <c r="K236" s="17">
        <v>238</v>
      </c>
      <c r="L236" s="17">
        <v>20</v>
      </c>
      <c r="M236" s="17">
        <v>15</v>
      </c>
    </row>
    <row r="237" spans="1:13" ht="15.75">
      <c r="A237" s="17" t="s">
        <v>52</v>
      </c>
      <c r="B237" s="17" t="s">
        <v>43</v>
      </c>
      <c r="C237" s="17" t="s">
        <v>39</v>
      </c>
      <c r="D237" s="17" t="s">
        <v>40</v>
      </c>
      <c r="E237" s="17" t="s">
        <v>56</v>
      </c>
      <c r="F237" s="17">
        <v>27460</v>
      </c>
      <c r="G237" s="17">
        <v>775</v>
      </c>
      <c r="H237" s="17">
        <v>28</v>
      </c>
      <c r="I237" s="17">
        <v>8568.4</v>
      </c>
      <c r="J237" s="17">
        <v>40088.120000000003</v>
      </c>
      <c r="K237" s="18">
        <v>0</v>
      </c>
      <c r="L237" s="18">
        <v>0</v>
      </c>
      <c r="M237" s="18">
        <v>0</v>
      </c>
    </row>
    <row r="238" spans="1:13" ht="15.75">
      <c r="A238" s="17" t="s">
        <v>37</v>
      </c>
      <c r="B238" s="17" t="s">
        <v>38</v>
      </c>
      <c r="C238" s="17" t="s">
        <v>45</v>
      </c>
      <c r="D238" s="17" t="s">
        <v>46</v>
      </c>
      <c r="E238" s="17" t="s">
        <v>47</v>
      </c>
      <c r="F238" s="17">
        <v>29941</v>
      </c>
      <c r="G238" s="17">
        <v>413</v>
      </c>
      <c r="H238" s="17">
        <v>10</v>
      </c>
      <c r="I238" s="17">
        <v>4170.5600000000004</v>
      </c>
      <c r="J238" s="17">
        <v>8745.1</v>
      </c>
      <c r="K238" s="17">
        <v>174</v>
      </c>
      <c r="L238" s="17">
        <v>11</v>
      </c>
      <c r="M238" s="17">
        <v>14</v>
      </c>
    </row>
    <row r="239" spans="1:13" ht="15.75">
      <c r="A239" s="17" t="s">
        <v>37</v>
      </c>
      <c r="B239" s="17" t="s">
        <v>43</v>
      </c>
      <c r="C239" s="17" t="s">
        <v>39</v>
      </c>
      <c r="D239" s="17" t="s">
        <v>46</v>
      </c>
      <c r="E239" s="17" t="s">
        <v>50</v>
      </c>
      <c r="F239" s="17">
        <v>15323</v>
      </c>
      <c r="G239" s="17">
        <v>154</v>
      </c>
      <c r="H239" s="17">
        <v>4</v>
      </c>
      <c r="I239" s="17">
        <v>8451.35</v>
      </c>
      <c r="J239" s="17">
        <v>3775.26</v>
      </c>
      <c r="K239" s="17">
        <v>52</v>
      </c>
      <c r="L239" s="17">
        <v>3</v>
      </c>
      <c r="M239" s="17">
        <v>4</v>
      </c>
    </row>
    <row r="240" spans="1:13" ht="15.75">
      <c r="A240" s="17" t="s">
        <v>42</v>
      </c>
      <c r="B240" s="17" t="s">
        <v>44</v>
      </c>
      <c r="C240" s="17" t="s">
        <v>45</v>
      </c>
      <c r="D240" s="17" t="s">
        <v>46</v>
      </c>
      <c r="E240" s="17" t="s">
        <v>50</v>
      </c>
      <c r="F240" s="17">
        <v>62630</v>
      </c>
      <c r="G240" s="17">
        <v>781</v>
      </c>
      <c r="H240" s="18">
        <v>0</v>
      </c>
      <c r="I240" s="17">
        <v>6731.61</v>
      </c>
      <c r="J240" s="17">
        <v>17536.3</v>
      </c>
      <c r="K240" s="17">
        <v>254</v>
      </c>
      <c r="L240" s="17">
        <v>32</v>
      </c>
      <c r="M240" s="17">
        <v>14</v>
      </c>
    </row>
    <row r="241" spans="1:13" ht="15.75">
      <c r="A241" s="17" t="s">
        <v>51</v>
      </c>
      <c r="B241" s="17" t="s">
        <v>44</v>
      </c>
      <c r="C241" s="17" t="s">
        <v>54</v>
      </c>
      <c r="D241" s="17" t="s">
        <v>46</v>
      </c>
      <c r="E241" s="17" t="s">
        <v>50</v>
      </c>
      <c r="F241" s="17">
        <v>32131</v>
      </c>
      <c r="G241" s="17">
        <v>232</v>
      </c>
      <c r="H241" s="17">
        <v>4</v>
      </c>
      <c r="I241" s="17">
        <v>3163.26</v>
      </c>
      <c r="J241" s="17">
        <v>5423.32</v>
      </c>
      <c r="K241" s="17">
        <v>73</v>
      </c>
      <c r="L241" s="17">
        <v>5</v>
      </c>
      <c r="M241" s="17">
        <v>3</v>
      </c>
    </row>
    <row r="242" spans="1:13" ht="15.75">
      <c r="A242" s="17" t="s">
        <v>37</v>
      </c>
      <c r="B242" s="17" t="s">
        <v>44</v>
      </c>
      <c r="C242" s="17" t="s">
        <v>49</v>
      </c>
      <c r="D242" s="17" t="s">
        <v>46</v>
      </c>
      <c r="E242" s="17" t="s">
        <v>50</v>
      </c>
      <c r="F242" s="17">
        <v>62136</v>
      </c>
      <c r="G242" s="17">
        <v>1209</v>
      </c>
      <c r="H242" s="17">
        <v>35</v>
      </c>
      <c r="I242" s="17">
        <v>4996.68</v>
      </c>
      <c r="J242" s="17">
        <v>46374.65</v>
      </c>
      <c r="K242" s="17">
        <v>499</v>
      </c>
      <c r="L242" s="17">
        <v>34</v>
      </c>
      <c r="M242" s="17">
        <v>23</v>
      </c>
    </row>
    <row r="243" spans="1:13" ht="15.75">
      <c r="A243" s="17" t="s">
        <v>42</v>
      </c>
      <c r="B243" s="17" t="s">
        <v>43</v>
      </c>
      <c r="C243" s="17" t="s">
        <v>55</v>
      </c>
      <c r="D243" s="17" t="s">
        <v>46</v>
      </c>
      <c r="E243" s="17" t="s">
        <v>47</v>
      </c>
      <c r="F243" s="17">
        <v>42207</v>
      </c>
      <c r="G243" s="17">
        <v>213</v>
      </c>
      <c r="H243" s="17">
        <v>2</v>
      </c>
      <c r="I243" s="17">
        <v>3742.15</v>
      </c>
      <c r="J243" s="17">
        <v>2649.83</v>
      </c>
      <c r="K243" s="17">
        <v>99</v>
      </c>
      <c r="L243" s="17">
        <v>5</v>
      </c>
      <c r="M243" s="17">
        <v>3</v>
      </c>
    </row>
    <row r="244" spans="1:13" ht="15.75">
      <c r="A244" s="17" t="s">
        <v>42</v>
      </c>
      <c r="B244" s="17" t="s">
        <v>48</v>
      </c>
      <c r="C244" s="17" t="s">
        <v>45</v>
      </c>
      <c r="D244" s="17" t="s">
        <v>46</v>
      </c>
      <c r="E244" s="17" t="s">
        <v>41</v>
      </c>
      <c r="F244" s="17">
        <v>25696</v>
      </c>
      <c r="G244" s="17">
        <v>189</v>
      </c>
      <c r="H244" s="17">
        <v>4</v>
      </c>
      <c r="I244" s="17">
        <v>5527.11</v>
      </c>
      <c r="J244" s="17">
        <v>4191.0600000000004</v>
      </c>
      <c r="K244" s="17">
        <v>92</v>
      </c>
      <c r="L244" s="17">
        <v>4</v>
      </c>
      <c r="M244" s="17">
        <v>2</v>
      </c>
    </row>
    <row r="245" spans="1:13" ht="15.75">
      <c r="A245" s="17" t="s">
        <v>52</v>
      </c>
      <c r="B245" s="17" t="s">
        <v>48</v>
      </c>
      <c r="C245" s="17" t="s">
        <v>39</v>
      </c>
      <c r="D245" s="17" t="s">
        <v>40</v>
      </c>
      <c r="E245" s="17" t="s">
        <v>53</v>
      </c>
      <c r="F245" s="17">
        <v>77437</v>
      </c>
      <c r="G245" s="17">
        <v>2357</v>
      </c>
      <c r="H245" s="17">
        <v>73</v>
      </c>
      <c r="I245" s="18">
        <v>0</v>
      </c>
      <c r="J245" s="17">
        <v>105055.66</v>
      </c>
      <c r="K245" s="18">
        <v>0</v>
      </c>
      <c r="L245" s="18">
        <v>0</v>
      </c>
      <c r="M245" s="18">
        <v>0</v>
      </c>
    </row>
    <row r="246" spans="1:13" ht="15.75">
      <c r="A246" s="17" t="s">
        <v>42</v>
      </c>
      <c r="B246" s="17" t="s">
        <v>44</v>
      </c>
      <c r="C246" s="17" t="s">
        <v>54</v>
      </c>
      <c r="D246" s="17" t="s">
        <v>40</v>
      </c>
      <c r="E246" s="18" t="s">
        <v>65</v>
      </c>
      <c r="F246" s="17">
        <v>54372</v>
      </c>
      <c r="G246" s="17">
        <v>302</v>
      </c>
      <c r="H246" s="17">
        <v>6</v>
      </c>
      <c r="I246" s="17">
        <v>8864.8799999999992</v>
      </c>
      <c r="J246" s="18">
        <v>0</v>
      </c>
      <c r="K246" s="17">
        <v>147</v>
      </c>
      <c r="L246" s="17">
        <v>11</v>
      </c>
      <c r="M246" s="17">
        <v>5</v>
      </c>
    </row>
    <row r="247" spans="1:13" ht="15.75">
      <c r="A247" s="17" t="s">
        <v>51</v>
      </c>
      <c r="B247" s="17" t="s">
        <v>43</v>
      </c>
      <c r="C247" s="17" t="s">
        <v>54</v>
      </c>
      <c r="D247" s="17" t="s">
        <v>46</v>
      </c>
      <c r="E247" s="17" t="s">
        <v>50</v>
      </c>
      <c r="F247" s="17">
        <v>48882</v>
      </c>
      <c r="G247" s="17">
        <v>377</v>
      </c>
      <c r="H247" s="17">
        <v>7</v>
      </c>
      <c r="I247" s="17">
        <v>7054.19</v>
      </c>
      <c r="J247" s="17">
        <v>4460.12</v>
      </c>
      <c r="K247" s="17">
        <v>184</v>
      </c>
      <c r="L247" s="17">
        <v>17</v>
      </c>
      <c r="M247" s="17">
        <v>15</v>
      </c>
    </row>
    <row r="248" spans="1:13" ht="15.75">
      <c r="A248" s="17" t="s">
        <v>52</v>
      </c>
      <c r="B248" s="17" t="s">
        <v>38</v>
      </c>
      <c r="C248" s="17" t="s">
        <v>55</v>
      </c>
      <c r="D248" s="17" t="s">
        <v>40</v>
      </c>
      <c r="E248" s="17" t="s">
        <v>53</v>
      </c>
      <c r="F248" s="17">
        <v>67270</v>
      </c>
      <c r="G248" s="17">
        <v>1996</v>
      </c>
      <c r="H248" s="17">
        <v>48</v>
      </c>
      <c r="I248" s="17">
        <v>7446.4</v>
      </c>
      <c r="J248" s="17">
        <v>67646.77</v>
      </c>
      <c r="K248" s="18">
        <v>0</v>
      </c>
      <c r="L248" s="18">
        <v>0</v>
      </c>
      <c r="M248" s="18">
        <v>0</v>
      </c>
    </row>
    <row r="249" spans="1:13" ht="15.75">
      <c r="A249" s="17" t="s">
        <v>52</v>
      </c>
      <c r="B249" s="17" t="s">
        <v>48</v>
      </c>
      <c r="C249" s="17" t="s">
        <v>39</v>
      </c>
      <c r="D249" s="17" t="s">
        <v>40</v>
      </c>
      <c r="E249" s="17" t="s">
        <v>56</v>
      </c>
      <c r="F249" s="17">
        <v>74084</v>
      </c>
      <c r="G249" s="17">
        <v>2489</v>
      </c>
      <c r="H249" s="17">
        <v>114</v>
      </c>
      <c r="I249" s="17">
        <v>7621.81</v>
      </c>
      <c r="J249" s="17">
        <v>83266.78</v>
      </c>
      <c r="K249" s="18">
        <v>0</v>
      </c>
      <c r="L249" s="18">
        <v>0</v>
      </c>
      <c r="M249" s="18">
        <v>0</v>
      </c>
    </row>
    <row r="250" spans="1:13" ht="15.75">
      <c r="A250" s="17" t="s">
        <v>52</v>
      </c>
      <c r="B250" s="17" t="s">
        <v>43</v>
      </c>
      <c r="C250" s="17" t="s">
        <v>49</v>
      </c>
      <c r="D250" s="17" t="s">
        <v>46</v>
      </c>
      <c r="E250" s="17" t="s">
        <v>56</v>
      </c>
      <c r="F250" s="17">
        <v>65115</v>
      </c>
      <c r="G250" s="17">
        <v>2493</v>
      </c>
      <c r="H250" s="17">
        <v>86</v>
      </c>
      <c r="I250" s="17">
        <v>8634</v>
      </c>
      <c r="J250" s="17">
        <v>115602.86</v>
      </c>
      <c r="K250" s="18">
        <v>0</v>
      </c>
      <c r="L250" s="18">
        <v>0</v>
      </c>
      <c r="M250" s="18">
        <v>0</v>
      </c>
    </row>
    <row r="251" spans="1:13" ht="15.75">
      <c r="A251" s="17" t="s">
        <v>42</v>
      </c>
      <c r="B251" s="17" t="s">
        <v>48</v>
      </c>
      <c r="C251" s="17" t="s">
        <v>39</v>
      </c>
      <c r="D251" s="17" t="s">
        <v>40</v>
      </c>
      <c r="E251" s="17" t="s">
        <v>47</v>
      </c>
      <c r="F251" s="17">
        <v>50251</v>
      </c>
      <c r="G251" s="17">
        <v>343</v>
      </c>
      <c r="H251" s="17">
        <v>9</v>
      </c>
      <c r="I251" s="17">
        <v>2897.4</v>
      </c>
      <c r="J251" s="17">
        <v>11379.01</v>
      </c>
      <c r="K251" s="17">
        <v>160</v>
      </c>
      <c r="L251" s="17">
        <v>12</v>
      </c>
      <c r="M251" s="17">
        <v>10</v>
      </c>
    </row>
    <row r="252" spans="1:13" ht="15.75">
      <c r="A252" s="17" t="s">
        <v>42</v>
      </c>
      <c r="B252" s="17" t="s">
        <v>38</v>
      </c>
      <c r="C252" s="17" t="s">
        <v>39</v>
      </c>
      <c r="D252" s="17" t="s">
        <v>46</v>
      </c>
      <c r="E252" s="17" t="s">
        <v>50</v>
      </c>
      <c r="F252" s="17">
        <v>59641</v>
      </c>
      <c r="G252" s="17">
        <v>815</v>
      </c>
      <c r="H252" s="17">
        <v>16</v>
      </c>
      <c r="I252" s="17">
        <v>8439.76</v>
      </c>
      <c r="J252" s="17">
        <v>8163.95</v>
      </c>
      <c r="K252" s="17">
        <v>251</v>
      </c>
      <c r="L252" s="17">
        <v>33</v>
      </c>
      <c r="M252" s="17">
        <v>15</v>
      </c>
    </row>
    <row r="253" spans="1:13" ht="15.75">
      <c r="A253" s="17" t="s">
        <v>37</v>
      </c>
      <c r="B253" s="17" t="s">
        <v>48</v>
      </c>
      <c r="C253" s="17" t="s">
        <v>55</v>
      </c>
      <c r="D253" s="17" t="s">
        <v>46</v>
      </c>
      <c r="E253" s="17" t="s">
        <v>50</v>
      </c>
      <c r="F253" s="17">
        <v>20878</v>
      </c>
      <c r="G253" s="17">
        <v>253</v>
      </c>
      <c r="H253" s="17">
        <v>5</v>
      </c>
      <c r="I253" s="17">
        <v>3373.89</v>
      </c>
      <c r="J253" s="17">
        <v>3968.85</v>
      </c>
      <c r="K253" s="17">
        <v>112</v>
      </c>
      <c r="L253" s="17">
        <v>6</v>
      </c>
      <c r="M253" s="17">
        <v>7</v>
      </c>
    </row>
    <row r="254" spans="1:13" ht="15.75">
      <c r="A254" s="17" t="s">
        <v>52</v>
      </c>
      <c r="B254" s="17" t="s">
        <v>43</v>
      </c>
      <c r="C254" s="17" t="s">
        <v>39</v>
      </c>
      <c r="D254" s="17" t="s">
        <v>46</v>
      </c>
      <c r="E254" s="17" t="s">
        <v>53</v>
      </c>
      <c r="F254" s="18">
        <v>0</v>
      </c>
      <c r="G254" s="17">
        <v>1587</v>
      </c>
      <c r="H254" s="17">
        <v>58</v>
      </c>
      <c r="I254" s="17">
        <v>3350.29</v>
      </c>
      <c r="J254" s="17">
        <v>53324.95</v>
      </c>
      <c r="K254" s="18">
        <v>0</v>
      </c>
      <c r="L254" s="18">
        <v>0</v>
      </c>
      <c r="M254" s="18">
        <v>0</v>
      </c>
    </row>
    <row r="255" spans="1:13" ht="15.75">
      <c r="A255" s="17" t="s">
        <v>52</v>
      </c>
      <c r="B255" s="17" t="s">
        <v>48</v>
      </c>
      <c r="C255" s="17" t="s">
        <v>45</v>
      </c>
      <c r="D255" s="17" t="s">
        <v>40</v>
      </c>
      <c r="E255" s="17" t="s">
        <v>56</v>
      </c>
      <c r="F255" s="17">
        <v>13293</v>
      </c>
      <c r="G255" s="17">
        <v>395</v>
      </c>
      <c r="H255" s="17">
        <v>13</v>
      </c>
      <c r="I255" s="17">
        <v>7291.38</v>
      </c>
      <c r="J255" s="17">
        <v>9462.32</v>
      </c>
      <c r="K255" s="18">
        <v>0</v>
      </c>
      <c r="L255" s="18">
        <v>0</v>
      </c>
      <c r="M255" s="18">
        <v>0</v>
      </c>
    </row>
    <row r="256" spans="1:13" ht="15.75">
      <c r="A256" s="17" t="s">
        <v>42</v>
      </c>
      <c r="B256" s="17" t="s">
        <v>48</v>
      </c>
      <c r="C256" s="17" t="s">
        <v>45</v>
      </c>
      <c r="D256" s="17" t="s">
        <v>40</v>
      </c>
      <c r="E256" s="17" t="s">
        <v>41</v>
      </c>
      <c r="F256" s="17">
        <v>69691</v>
      </c>
      <c r="G256" s="17">
        <v>813</v>
      </c>
      <c r="H256" s="17">
        <v>9</v>
      </c>
      <c r="I256" s="17">
        <v>8782.92</v>
      </c>
      <c r="J256" s="17">
        <v>5820.71</v>
      </c>
      <c r="K256" s="17">
        <v>371</v>
      </c>
      <c r="L256" s="17">
        <v>21</v>
      </c>
      <c r="M256" s="17">
        <v>8</v>
      </c>
    </row>
    <row r="257" spans="1:13" ht="15.75">
      <c r="A257" s="17" t="s">
        <v>37</v>
      </c>
      <c r="B257" s="17" t="s">
        <v>43</v>
      </c>
      <c r="C257" s="17" t="s">
        <v>49</v>
      </c>
      <c r="D257" s="17" t="s">
        <v>46</v>
      </c>
      <c r="E257" s="17" t="s">
        <v>50</v>
      </c>
      <c r="F257" s="17">
        <v>35997</v>
      </c>
      <c r="G257" s="17">
        <v>570</v>
      </c>
      <c r="H257" s="17">
        <v>13</v>
      </c>
      <c r="I257" s="17">
        <v>4488.67</v>
      </c>
      <c r="J257" s="17">
        <v>9390.3799999999992</v>
      </c>
      <c r="K257" s="17">
        <v>243</v>
      </c>
      <c r="L257" s="17">
        <v>12</v>
      </c>
      <c r="M257" s="17">
        <v>21</v>
      </c>
    </row>
    <row r="258" spans="1:13" ht="15.75">
      <c r="A258" s="17" t="s">
        <v>42</v>
      </c>
      <c r="B258" s="17" t="s">
        <v>44</v>
      </c>
      <c r="C258" s="17" t="s">
        <v>39</v>
      </c>
      <c r="D258" s="17" t="s">
        <v>46</v>
      </c>
      <c r="E258" s="17" t="s">
        <v>50</v>
      </c>
      <c r="F258" s="17">
        <v>74240</v>
      </c>
      <c r="G258" s="17">
        <v>491</v>
      </c>
      <c r="H258" s="17">
        <v>10</v>
      </c>
      <c r="I258" s="17">
        <v>6436.1</v>
      </c>
      <c r="J258" s="17">
        <v>14821.53</v>
      </c>
      <c r="K258" s="17">
        <v>221</v>
      </c>
      <c r="L258" s="17">
        <v>28</v>
      </c>
      <c r="M258" s="17">
        <v>13</v>
      </c>
    </row>
    <row r="259" spans="1:13" ht="15.75">
      <c r="A259" s="17" t="s">
        <v>51</v>
      </c>
      <c r="B259" s="17" t="s">
        <v>44</v>
      </c>
      <c r="C259" s="17" t="s">
        <v>39</v>
      </c>
      <c r="D259" s="17" t="s">
        <v>40</v>
      </c>
      <c r="E259" s="17" t="s">
        <v>50</v>
      </c>
      <c r="F259" s="17">
        <v>17262</v>
      </c>
      <c r="G259" s="17">
        <v>89</v>
      </c>
      <c r="H259" s="18">
        <v>0</v>
      </c>
      <c r="I259" s="17">
        <v>5111.9399999999996</v>
      </c>
      <c r="J259" s="18">
        <v>0</v>
      </c>
      <c r="K259" s="18">
        <v>0</v>
      </c>
      <c r="L259" s="17">
        <v>2</v>
      </c>
      <c r="M259" s="17">
        <v>1</v>
      </c>
    </row>
    <row r="260" spans="1:13" ht="15.75">
      <c r="A260" s="17" t="s">
        <v>42</v>
      </c>
      <c r="B260" s="17" t="s">
        <v>48</v>
      </c>
      <c r="C260" s="17" t="s">
        <v>45</v>
      </c>
      <c r="D260" s="17" t="s">
        <v>46</v>
      </c>
      <c r="E260" s="17" t="s">
        <v>50</v>
      </c>
      <c r="F260" s="17">
        <v>24502</v>
      </c>
      <c r="G260" s="17">
        <v>172</v>
      </c>
      <c r="H260" s="17">
        <v>5</v>
      </c>
      <c r="I260" s="17">
        <v>8452.08</v>
      </c>
      <c r="J260" s="17">
        <v>4895.51</v>
      </c>
      <c r="K260" s="17">
        <v>82</v>
      </c>
      <c r="L260" s="17">
        <v>8</v>
      </c>
      <c r="M260" s="17">
        <v>2</v>
      </c>
    </row>
    <row r="261" spans="1:13" ht="15.75">
      <c r="A261" s="17" t="s">
        <v>42</v>
      </c>
      <c r="B261" s="17" t="s">
        <v>43</v>
      </c>
      <c r="C261" s="17" t="s">
        <v>55</v>
      </c>
      <c r="D261" s="17" t="s">
        <v>46</v>
      </c>
      <c r="E261" s="17" t="s">
        <v>50</v>
      </c>
      <c r="F261" s="17">
        <v>18781</v>
      </c>
      <c r="G261" s="17">
        <v>161</v>
      </c>
      <c r="H261" s="17">
        <v>3</v>
      </c>
      <c r="I261" s="17">
        <v>4362.21</v>
      </c>
      <c r="J261" s="17">
        <v>4260.82</v>
      </c>
      <c r="K261" s="17">
        <v>48</v>
      </c>
      <c r="L261" s="17">
        <v>8</v>
      </c>
      <c r="M261" s="17">
        <v>5</v>
      </c>
    </row>
    <row r="262" spans="1:13" ht="15.75">
      <c r="A262" s="17" t="s">
        <v>42</v>
      </c>
      <c r="B262" s="17" t="s">
        <v>44</v>
      </c>
      <c r="C262" s="17" t="s">
        <v>55</v>
      </c>
      <c r="D262" s="17" t="s">
        <v>40</v>
      </c>
      <c r="E262" s="17" t="s">
        <v>47</v>
      </c>
      <c r="F262" s="17">
        <v>26532</v>
      </c>
      <c r="G262" s="17">
        <v>77</v>
      </c>
      <c r="H262" s="17">
        <v>1</v>
      </c>
      <c r="I262" s="17">
        <v>2102.48</v>
      </c>
      <c r="J262" s="17">
        <v>1092.45</v>
      </c>
      <c r="K262" s="17">
        <v>35</v>
      </c>
      <c r="L262" s="17">
        <v>4</v>
      </c>
      <c r="M262" s="17">
        <v>2</v>
      </c>
    </row>
    <row r="263" spans="1:13" ht="15.75">
      <c r="A263" s="17" t="s">
        <v>51</v>
      </c>
      <c r="B263" s="17" t="s">
        <v>44</v>
      </c>
      <c r="C263" s="17" t="s">
        <v>55</v>
      </c>
      <c r="D263" s="17" t="s">
        <v>46</v>
      </c>
      <c r="E263" s="17" t="s">
        <v>50</v>
      </c>
      <c r="F263" s="17">
        <v>78099</v>
      </c>
      <c r="G263" s="17">
        <v>834</v>
      </c>
      <c r="H263" s="17">
        <v>16</v>
      </c>
      <c r="I263" s="18">
        <v>0</v>
      </c>
      <c r="J263" s="17">
        <v>14584.74</v>
      </c>
      <c r="K263" s="17">
        <v>357</v>
      </c>
      <c r="L263" s="17">
        <v>29</v>
      </c>
      <c r="M263" s="17">
        <v>13</v>
      </c>
    </row>
    <row r="264" spans="1:13" ht="15.75">
      <c r="A264" s="17" t="s">
        <v>42</v>
      </c>
      <c r="B264" s="17" t="s">
        <v>48</v>
      </c>
      <c r="C264" s="17" t="s">
        <v>49</v>
      </c>
      <c r="D264" s="17" t="s">
        <v>40</v>
      </c>
      <c r="E264" s="17" t="s">
        <v>47</v>
      </c>
      <c r="F264" s="17">
        <v>77887</v>
      </c>
      <c r="G264" s="17">
        <v>827</v>
      </c>
      <c r="H264" s="18">
        <v>0</v>
      </c>
      <c r="I264" s="17">
        <v>4926.2299999999996</v>
      </c>
      <c r="J264" s="17">
        <v>30335.79</v>
      </c>
      <c r="K264" s="17">
        <v>368</v>
      </c>
      <c r="L264" s="17">
        <v>37</v>
      </c>
      <c r="M264" s="17">
        <v>28</v>
      </c>
    </row>
    <row r="265" spans="1:13" ht="15.75">
      <c r="A265" s="17" t="s">
        <v>52</v>
      </c>
      <c r="B265" s="17" t="s">
        <v>43</v>
      </c>
      <c r="C265" s="17" t="s">
        <v>39</v>
      </c>
      <c r="D265" s="17" t="s">
        <v>46</v>
      </c>
      <c r="E265" s="17" t="s">
        <v>56</v>
      </c>
      <c r="F265" s="17">
        <v>53214</v>
      </c>
      <c r="G265" s="17">
        <v>1217</v>
      </c>
      <c r="H265" s="17">
        <v>54</v>
      </c>
      <c r="I265" s="17">
        <v>6354.9</v>
      </c>
      <c r="J265" s="17">
        <v>73348.86</v>
      </c>
      <c r="K265" s="18">
        <v>0</v>
      </c>
      <c r="L265" s="18">
        <v>0</v>
      </c>
      <c r="M265" s="18">
        <v>0</v>
      </c>
    </row>
    <row r="266" spans="1:13" ht="15.75">
      <c r="A266" s="17" t="s">
        <v>51</v>
      </c>
      <c r="B266" s="17" t="s">
        <v>38</v>
      </c>
      <c r="C266" s="17" t="s">
        <v>54</v>
      </c>
      <c r="D266" s="17" t="s">
        <v>46</v>
      </c>
      <c r="E266" s="17" t="s">
        <v>50</v>
      </c>
      <c r="F266" s="17">
        <v>63592</v>
      </c>
      <c r="G266" s="17">
        <v>406</v>
      </c>
      <c r="H266" s="17">
        <v>5</v>
      </c>
      <c r="I266" s="17">
        <v>3171.18</v>
      </c>
      <c r="J266" s="17">
        <v>6599.48</v>
      </c>
      <c r="K266" s="17">
        <v>137</v>
      </c>
      <c r="L266" s="17">
        <v>10</v>
      </c>
      <c r="M266" s="17">
        <v>8</v>
      </c>
    </row>
    <row r="267" spans="1:13" ht="15.75">
      <c r="A267" s="17" t="s">
        <v>42</v>
      </c>
      <c r="B267" s="17" t="s">
        <v>38</v>
      </c>
      <c r="C267" s="17" t="s">
        <v>55</v>
      </c>
      <c r="D267" s="17" t="s">
        <v>46</v>
      </c>
      <c r="E267" s="17" t="s">
        <v>47</v>
      </c>
      <c r="F267" s="17">
        <v>23078</v>
      </c>
      <c r="G267" s="17">
        <v>134</v>
      </c>
      <c r="H267" s="17">
        <v>3</v>
      </c>
      <c r="I267" s="17">
        <v>5430.09</v>
      </c>
      <c r="J267" s="17">
        <v>3269.7</v>
      </c>
      <c r="K267" s="17">
        <v>50</v>
      </c>
      <c r="L267" s="17">
        <v>6</v>
      </c>
      <c r="M267" s="17">
        <v>5</v>
      </c>
    </row>
    <row r="268" spans="1:13" ht="15.75">
      <c r="A268" s="17" t="s">
        <v>51</v>
      </c>
      <c r="B268" s="17" t="s">
        <v>38</v>
      </c>
      <c r="C268" s="17" t="s">
        <v>54</v>
      </c>
      <c r="D268" s="17" t="s">
        <v>40</v>
      </c>
      <c r="E268" s="17" t="s">
        <v>50</v>
      </c>
      <c r="F268" s="17">
        <v>45101</v>
      </c>
      <c r="G268" s="17">
        <v>500</v>
      </c>
      <c r="H268" s="17">
        <v>6</v>
      </c>
      <c r="I268" s="17">
        <v>3147.47</v>
      </c>
      <c r="J268" s="17">
        <v>8354.3799999999992</v>
      </c>
      <c r="K268" s="17">
        <v>223</v>
      </c>
      <c r="L268" s="17">
        <v>10</v>
      </c>
      <c r="M268" s="17">
        <v>14</v>
      </c>
    </row>
    <row r="269" spans="1:13" ht="15.75">
      <c r="A269" s="17" t="s">
        <v>42</v>
      </c>
      <c r="B269" s="17" t="s">
        <v>43</v>
      </c>
      <c r="C269" s="17" t="s">
        <v>39</v>
      </c>
      <c r="D269" s="17" t="s">
        <v>46</v>
      </c>
      <c r="E269" s="17" t="s">
        <v>41</v>
      </c>
      <c r="F269" s="17">
        <v>27244</v>
      </c>
      <c r="G269" s="17">
        <v>329</v>
      </c>
      <c r="H269" s="18">
        <v>0</v>
      </c>
      <c r="I269" s="17">
        <v>6295.81</v>
      </c>
      <c r="J269" s="18">
        <v>0</v>
      </c>
      <c r="K269" s="17">
        <v>162</v>
      </c>
      <c r="L269" s="17">
        <v>11</v>
      </c>
      <c r="M269" s="17">
        <v>8</v>
      </c>
    </row>
    <row r="270" spans="1:13" ht="15.75">
      <c r="A270" s="17" t="s">
        <v>52</v>
      </c>
      <c r="B270" s="17" t="s">
        <v>38</v>
      </c>
      <c r="C270" s="17" t="s">
        <v>49</v>
      </c>
      <c r="D270" s="17" t="s">
        <v>46</v>
      </c>
      <c r="E270" s="17" t="s">
        <v>53</v>
      </c>
      <c r="F270" s="17">
        <v>74635</v>
      </c>
      <c r="G270" s="17">
        <v>2138</v>
      </c>
      <c r="H270" s="17">
        <v>90</v>
      </c>
      <c r="I270" s="17">
        <v>2471.5100000000002</v>
      </c>
      <c r="J270" s="17">
        <v>87129.95</v>
      </c>
      <c r="K270" s="18">
        <v>0</v>
      </c>
      <c r="L270" s="18">
        <v>0</v>
      </c>
      <c r="M270" s="18">
        <v>0</v>
      </c>
    </row>
    <row r="271" spans="1:13" ht="15.75">
      <c r="A271" s="17" t="s">
        <v>51</v>
      </c>
      <c r="B271" s="17" t="s">
        <v>43</v>
      </c>
      <c r="C271" s="17" t="s">
        <v>45</v>
      </c>
      <c r="D271" s="17" t="s">
        <v>46</v>
      </c>
      <c r="E271" s="17" t="s">
        <v>50</v>
      </c>
      <c r="F271" s="17">
        <v>57883</v>
      </c>
      <c r="G271" s="17">
        <v>510</v>
      </c>
      <c r="H271" s="17">
        <v>9</v>
      </c>
      <c r="I271" s="17">
        <v>8087.45</v>
      </c>
      <c r="J271" s="17">
        <v>13469.51</v>
      </c>
      <c r="K271" s="17">
        <v>249</v>
      </c>
      <c r="L271" s="17">
        <v>27</v>
      </c>
      <c r="M271" s="17">
        <v>10</v>
      </c>
    </row>
    <row r="272" spans="1:13" ht="15.75">
      <c r="A272" s="17" t="s">
        <v>51</v>
      </c>
      <c r="B272" s="17" t="s">
        <v>38</v>
      </c>
      <c r="C272" s="17" t="s">
        <v>54</v>
      </c>
      <c r="D272" s="17" t="s">
        <v>46</v>
      </c>
      <c r="E272" s="17" t="s">
        <v>50</v>
      </c>
      <c r="F272" s="17">
        <v>78157</v>
      </c>
      <c r="G272" s="17">
        <v>647</v>
      </c>
      <c r="H272" s="17">
        <v>12</v>
      </c>
      <c r="I272" s="17">
        <v>7551.14</v>
      </c>
      <c r="J272" s="17">
        <v>7568.84</v>
      </c>
      <c r="K272" s="17">
        <v>261</v>
      </c>
      <c r="L272" s="17">
        <v>27</v>
      </c>
      <c r="M272" s="17">
        <v>12</v>
      </c>
    </row>
    <row r="273" spans="1:13" ht="15.75">
      <c r="A273" s="17" t="s">
        <v>51</v>
      </c>
      <c r="B273" s="17" t="s">
        <v>48</v>
      </c>
      <c r="C273" s="17" t="s">
        <v>54</v>
      </c>
      <c r="D273" s="17" t="s">
        <v>40</v>
      </c>
      <c r="E273" s="17" t="s">
        <v>50</v>
      </c>
      <c r="F273" s="17">
        <v>41496</v>
      </c>
      <c r="G273" s="17">
        <v>361</v>
      </c>
      <c r="H273" s="17">
        <v>4</v>
      </c>
      <c r="I273" s="17">
        <v>8697.92</v>
      </c>
      <c r="J273" s="17">
        <v>4457.9399999999996</v>
      </c>
      <c r="K273" s="17">
        <v>114</v>
      </c>
      <c r="L273" s="17">
        <v>7</v>
      </c>
      <c r="M273" s="17">
        <v>14</v>
      </c>
    </row>
    <row r="274" spans="1:13" ht="15.75">
      <c r="A274" s="17" t="s">
        <v>52</v>
      </c>
      <c r="B274" s="17" t="s">
        <v>48</v>
      </c>
      <c r="C274" s="17" t="s">
        <v>39</v>
      </c>
      <c r="D274" s="17" t="s">
        <v>40</v>
      </c>
      <c r="E274" s="17" t="s">
        <v>56</v>
      </c>
      <c r="F274" s="17">
        <v>77119</v>
      </c>
      <c r="G274" s="17">
        <v>2142</v>
      </c>
      <c r="H274" s="17">
        <v>124</v>
      </c>
      <c r="I274" s="17">
        <v>5807.3</v>
      </c>
      <c r="J274" s="17">
        <v>131322.57</v>
      </c>
      <c r="K274" s="18">
        <v>0</v>
      </c>
      <c r="L274" s="18">
        <v>0</v>
      </c>
      <c r="M274" s="18">
        <v>0</v>
      </c>
    </row>
    <row r="275" spans="1:13" ht="15.75">
      <c r="A275" s="17" t="s">
        <v>52</v>
      </c>
      <c r="B275" s="17" t="s">
        <v>38</v>
      </c>
      <c r="C275" s="17" t="s">
        <v>54</v>
      </c>
      <c r="D275" s="17" t="s">
        <v>40</v>
      </c>
      <c r="E275" s="17" t="s">
        <v>53</v>
      </c>
      <c r="F275" s="17">
        <v>72330</v>
      </c>
      <c r="G275" s="17">
        <v>2114</v>
      </c>
      <c r="H275" s="17">
        <v>106</v>
      </c>
      <c r="I275" s="17">
        <v>2374.2800000000002</v>
      </c>
      <c r="J275" s="17">
        <v>82041.05</v>
      </c>
      <c r="K275" s="18">
        <v>0</v>
      </c>
      <c r="L275" s="18">
        <v>0</v>
      </c>
      <c r="M275" s="18">
        <v>0</v>
      </c>
    </row>
    <row r="276" spans="1:13" ht="15.75">
      <c r="A276" s="17" t="s">
        <v>42</v>
      </c>
      <c r="B276" s="17" t="s">
        <v>38</v>
      </c>
      <c r="C276" s="17" t="s">
        <v>54</v>
      </c>
      <c r="D276" s="17" t="s">
        <v>40</v>
      </c>
      <c r="E276" s="17" t="s">
        <v>50</v>
      </c>
      <c r="F276" s="17">
        <v>78107</v>
      </c>
      <c r="G276" s="17">
        <v>587</v>
      </c>
      <c r="H276" s="17">
        <v>8</v>
      </c>
      <c r="I276" s="17">
        <v>2142.12</v>
      </c>
      <c r="J276" s="17">
        <v>11911.26</v>
      </c>
      <c r="K276" s="17">
        <v>281</v>
      </c>
      <c r="L276" s="17">
        <v>25</v>
      </c>
      <c r="M276" s="17">
        <v>18</v>
      </c>
    </row>
    <row r="277" spans="1:13" ht="15.75">
      <c r="A277" s="17" t="s">
        <v>51</v>
      </c>
      <c r="B277" s="17" t="s">
        <v>48</v>
      </c>
      <c r="C277" s="17" t="s">
        <v>39</v>
      </c>
      <c r="D277" s="17" t="s">
        <v>40</v>
      </c>
      <c r="E277" s="17" t="s">
        <v>50</v>
      </c>
      <c r="F277" s="17">
        <v>69385</v>
      </c>
      <c r="G277" s="17">
        <v>827</v>
      </c>
      <c r="H277" s="17">
        <v>11</v>
      </c>
      <c r="I277" s="17">
        <v>4543.72</v>
      </c>
      <c r="J277" s="18">
        <v>0</v>
      </c>
      <c r="K277" s="17">
        <v>359</v>
      </c>
      <c r="L277" s="17">
        <v>25</v>
      </c>
      <c r="M277" s="17">
        <v>23</v>
      </c>
    </row>
    <row r="278" spans="1:13" ht="15.75">
      <c r="A278" s="17" t="s">
        <v>42</v>
      </c>
      <c r="B278" s="17" t="s">
        <v>43</v>
      </c>
      <c r="C278" s="17" t="s">
        <v>55</v>
      </c>
      <c r="D278" s="17" t="s">
        <v>46</v>
      </c>
      <c r="E278" s="17" t="s">
        <v>50</v>
      </c>
      <c r="F278" s="17">
        <v>41752</v>
      </c>
      <c r="G278" s="17">
        <v>276</v>
      </c>
      <c r="H278" s="17">
        <v>5</v>
      </c>
      <c r="I278" s="17">
        <v>7541.8</v>
      </c>
      <c r="J278" s="17">
        <v>4626.74</v>
      </c>
      <c r="K278" s="17">
        <v>122</v>
      </c>
      <c r="L278" s="17">
        <v>13</v>
      </c>
      <c r="M278" s="17">
        <v>7</v>
      </c>
    </row>
    <row r="279" spans="1:13" ht="15.75">
      <c r="A279" s="17" t="s">
        <v>42</v>
      </c>
      <c r="B279" s="17" t="s">
        <v>48</v>
      </c>
      <c r="C279" s="17" t="s">
        <v>55</v>
      </c>
      <c r="D279" s="17" t="s">
        <v>40</v>
      </c>
      <c r="E279" s="17" t="s">
        <v>41</v>
      </c>
      <c r="F279" s="17">
        <v>54994</v>
      </c>
      <c r="G279" s="17">
        <v>554</v>
      </c>
      <c r="H279" s="17">
        <v>5</v>
      </c>
      <c r="I279" s="17">
        <v>7645.86</v>
      </c>
      <c r="J279" s="17">
        <v>5434.65</v>
      </c>
      <c r="K279" s="17">
        <v>269</v>
      </c>
      <c r="L279" s="17">
        <v>27</v>
      </c>
      <c r="M279" s="17">
        <v>17</v>
      </c>
    </row>
    <row r="280" spans="1:13" ht="15.75">
      <c r="A280" s="17" t="s">
        <v>51</v>
      </c>
      <c r="B280" s="17" t="s">
        <v>38</v>
      </c>
      <c r="C280" s="17" t="s">
        <v>39</v>
      </c>
      <c r="D280" s="17" t="s">
        <v>46</v>
      </c>
      <c r="E280" s="17" t="s">
        <v>50</v>
      </c>
      <c r="F280" s="17">
        <v>62678</v>
      </c>
      <c r="G280" s="17">
        <v>614</v>
      </c>
      <c r="H280" s="17">
        <v>5</v>
      </c>
      <c r="I280" s="17">
        <v>3425.21</v>
      </c>
      <c r="J280" s="17">
        <v>3223.64</v>
      </c>
      <c r="K280" s="17">
        <v>261</v>
      </c>
      <c r="L280" s="17">
        <v>27</v>
      </c>
      <c r="M280" s="17">
        <v>15</v>
      </c>
    </row>
    <row r="281" spans="1:13" ht="15.75">
      <c r="A281" s="17" t="s">
        <v>37</v>
      </c>
      <c r="B281" s="17" t="s">
        <v>43</v>
      </c>
      <c r="C281" s="17" t="s">
        <v>45</v>
      </c>
      <c r="D281" s="17" t="s">
        <v>46</v>
      </c>
      <c r="E281" s="17" t="s">
        <v>50</v>
      </c>
      <c r="F281" s="17">
        <v>56053</v>
      </c>
      <c r="G281" s="17">
        <v>983</v>
      </c>
      <c r="H281" s="17">
        <v>28</v>
      </c>
      <c r="I281" s="17">
        <v>6360.43</v>
      </c>
      <c r="J281" s="17">
        <v>15925.82</v>
      </c>
      <c r="K281" s="17">
        <v>331</v>
      </c>
      <c r="L281" s="17">
        <v>52</v>
      </c>
      <c r="M281" s="17">
        <v>30</v>
      </c>
    </row>
    <row r="282" spans="1:13" ht="15.75">
      <c r="A282" s="17" t="s">
        <v>52</v>
      </c>
      <c r="B282" s="17" t="s">
        <v>38</v>
      </c>
      <c r="C282" s="17" t="s">
        <v>49</v>
      </c>
      <c r="D282" s="17" t="s">
        <v>46</v>
      </c>
      <c r="E282" s="17" t="s">
        <v>53</v>
      </c>
      <c r="F282" s="18">
        <v>0</v>
      </c>
      <c r="G282" s="17">
        <v>921</v>
      </c>
      <c r="H282" s="17">
        <v>28</v>
      </c>
      <c r="I282" s="17">
        <v>7136.37</v>
      </c>
      <c r="J282" s="17">
        <v>33478.39</v>
      </c>
      <c r="K282" s="18">
        <v>0</v>
      </c>
      <c r="L282" s="18">
        <v>0</v>
      </c>
      <c r="M282" s="18">
        <v>0</v>
      </c>
    </row>
    <row r="283" spans="1:13" ht="15.75">
      <c r="A283" s="17" t="s">
        <v>42</v>
      </c>
      <c r="B283" s="17" t="s">
        <v>44</v>
      </c>
      <c r="C283" s="17" t="s">
        <v>45</v>
      </c>
      <c r="D283" s="17" t="s">
        <v>40</v>
      </c>
      <c r="E283" s="17" t="s">
        <v>41</v>
      </c>
      <c r="F283" s="17">
        <v>59710</v>
      </c>
      <c r="G283" s="17">
        <v>526</v>
      </c>
      <c r="H283" s="17">
        <v>14</v>
      </c>
      <c r="I283" s="18">
        <v>0</v>
      </c>
      <c r="J283" s="17">
        <v>8431.43</v>
      </c>
      <c r="K283" s="17">
        <v>187</v>
      </c>
      <c r="L283" s="17">
        <v>19</v>
      </c>
      <c r="M283" s="17">
        <v>8</v>
      </c>
    </row>
    <row r="284" spans="1:13" ht="15.75">
      <c r="A284" s="17" t="s">
        <v>37</v>
      </c>
      <c r="B284" s="17" t="s">
        <v>48</v>
      </c>
      <c r="C284" s="17" t="s">
        <v>55</v>
      </c>
      <c r="D284" s="17" t="s">
        <v>40</v>
      </c>
      <c r="E284" s="17" t="s">
        <v>50</v>
      </c>
      <c r="F284" s="17">
        <v>48257</v>
      </c>
      <c r="G284" s="17">
        <v>756</v>
      </c>
      <c r="H284" s="17">
        <v>24</v>
      </c>
      <c r="I284" s="17">
        <v>4888.62</v>
      </c>
      <c r="J284" s="17">
        <v>25324.16</v>
      </c>
      <c r="K284" s="17">
        <v>293</v>
      </c>
      <c r="L284" s="17">
        <v>42</v>
      </c>
      <c r="M284" s="17">
        <v>18</v>
      </c>
    </row>
    <row r="285" spans="1:13" ht="15.75">
      <c r="A285" s="17" t="s">
        <v>51</v>
      </c>
      <c r="B285" s="17" t="s">
        <v>48</v>
      </c>
      <c r="C285" s="17" t="s">
        <v>45</v>
      </c>
      <c r="D285" s="17" t="s">
        <v>40</v>
      </c>
      <c r="E285" s="17" t="s">
        <v>50</v>
      </c>
      <c r="F285" s="17">
        <v>56996</v>
      </c>
      <c r="G285" s="17">
        <v>420</v>
      </c>
      <c r="H285" s="17">
        <v>5</v>
      </c>
      <c r="I285" s="18">
        <v>0</v>
      </c>
      <c r="J285" s="17">
        <v>2544.25</v>
      </c>
      <c r="K285" s="17">
        <v>202</v>
      </c>
      <c r="L285" s="17">
        <v>12</v>
      </c>
      <c r="M285" s="17">
        <v>16</v>
      </c>
    </row>
    <row r="286" spans="1:13" ht="15.75">
      <c r="A286" s="17" t="s">
        <v>42</v>
      </c>
      <c r="B286" s="17" t="s">
        <v>44</v>
      </c>
      <c r="C286" s="17" t="s">
        <v>55</v>
      </c>
      <c r="D286" s="17" t="s">
        <v>46</v>
      </c>
      <c r="E286" s="17" t="s">
        <v>50</v>
      </c>
      <c r="F286" s="17">
        <v>61807</v>
      </c>
      <c r="G286" s="17">
        <v>666</v>
      </c>
      <c r="H286" s="17">
        <v>19</v>
      </c>
      <c r="I286" s="17">
        <v>3839.42</v>
      </c>
      <c r="J286" s="17">
        <v>19541.22</v>
      </c>
      <c r="K286" s="17">
        <v>224</v>
      </c>
      <c r="L286" s="17">
        <v>35</v>
      </c>
      <c r="M286" s="17">
        <v>25</v>
      </c>
    </row>
    <row r="287" spans="1:13" ht="15.75">
      <c r="A287" s="17" t="s">
        <v>37</v>
      </c>
      <c r="B287" s="17" t="s">
        <v>48</v>
      </c>
      <c r="C287" s="17" t="s">
        <v>45</v>
      </c>
      <c r="D287" s="17" t="s">
        <v>40</v>
      </c>
      <c r="E287" s="17" t="s">
        <v>47</v>
      </c>
      <c r="F287" s="17">
        <v>78336</v>
      </c>
      <c r="G287" s="17">
        <v>991</v>
      </c>
      <c r="H287" s="17">
        <v>15</v>
      </c>
      <c r="I287" s="17">
        <v>3113.19</v>
      </c>
      <c r="J287" s="17">
        <v>8241.35</v>
      </c>
      <c r="K287" s="17">
        <v>306</v>
      </c>
      <c r="L287" s="17">
        <v>23</v>
      </c>
      <c r="M287" s="17">
        <v>14</v>
      </c>
    </row>
    <row r="288" spans="1:13" ht="15.75">
      <c r="A288" s="17" t="s">
        <v>37</v>
      </c>
      <c r="B288" s="17" t="s">
        <v>48</v>
      </c>
      <c r="C288" s="17" t="s">
        <v>39</v>
      </c>
      <c r="D288" s="17" t="s">
        <v>40</v>
      </c>
      <c r="E288" s="17" t="s">
        <v>41</v>
      </c>
      <c r="F288" s="17">
        <v>46121</v>
      </c>
      <c r="G288" s="17">
        <v>755</v>
      </c>
      <c r="H288" s="17">
        <v>12</v>
      </c>
      <c r="I288" s="17">
        <v>2599.16</v>
      </c>
      <c r="J288" s="17">
        <v>13023.01</v>
      </c>
      <c r="K288" s="17">
        <v>283</v>
      </c>
      <c r="L288" s="17">
        <v>38</v>
      </c>
      <c r="M288" s="17">
        <v>11</v>
      </c>
    </row>
    <row r="289" spans="1:13" ht="15.75">
      <c r="A289" s="17" t="s">
        <v>51</v>
      </c>
      <c r="B289" s="17" t="s">
        <v>48</v>
      </c>
      <c r="C289" s="17" t="s">
        <v>55</v>
      </c>
      <c r="D289" s="17" t="s">
        <v>46</v>
      </c>
      <c r="E289" s="17" t="s">
        <v>50</v>
      </c>
      <c r="F289" s="17">
        <v>75500</v>
      </c>
      <c r="G289" s="17">
        <v>920</v>
      </c>
      <c r="H289" s="17">
        <v>11</v>
      </c>
      <c r="I289" s="17">
        <v>5410.92</v>
      </c>
      <c r="J289" s="17">
        <v>13210.26</v>
      </c>
      <c r="K289" s="17">
        <v>449</v>
      </c>
      <c r="L289" s="17">
        <v>24</v>
      </c>
      <c r="M289" s="17">
        <v>12</v>
      </c>
    </row>
    <row r="290" spans="1:13" ht="15.75">
      <c r="A290" s="17" t="s">
        <v>52</v>
      </c>
      <c r="B290" s="17" t="s">
        <v>48</v>
      </c>
      <c r="C290" s="17" t="s">
        <v>49</v>
      </c>
      <c r="D290" s="17" t="s">
        <v>46</v>
      </c>
      <c r="E290" s="17" t="s">
        <v>56</v>
      </c>
      <c r="F290" s="17">
        <v>28651</v>
      </c>
      <c r="G290" s="18">
        <v>0</v>
      </c>
      <c r="H290" s="17">
        <v>26</v>
      </c>
      <c r="I290" s="17">
        <v>8638.5499999999993</v>
      </c>
      <c r="J290" s="17">
        <v>34593.17</v>
      </c>
      <c r="K290" s="18">
        <v>0</v>
      </c>
      <c r="L290" s="18">
        <v>0</v>
      </c>
      <c r="M290" s="18">
        <v>0</v>
      </c>
    </row>
    <row r="291" spans="1:13" ht="15.75">
      <c r="A291" s="17" t="s">
        <v>51</v>
      </c>
      <c r="B291" s="17" t="s">
        <v>38</v>
      </c>
      <c r="C291" s="17" t="s">
        <v>39</v>
      </c>
      <c r="D291" s="17" t="s">
        <v>46</v>
      </c>
      <c r="E291" s="17" t="s">
        <v>50</v>
      </c>
      <c r="F291" s="17">
        <v>21230</v>
      </c>
      <c r="G291" s="17">
        <v>83</v>
      </c>
      <c r="H291" s="17">
        <v>2</v>
      </c>
      <c r="I291" s="17">
        <v>2199.36</v>
      </c>
      <c r="J291" s="17">
        <v>1703.98</v>
      </c>
      <c r="K291" s="17">
        <v>37</v>
      </c>
      <c r="L291" s="17">
        <v>3</v>
      </c>
      <c r="M291" s="17">
        <v>2</v>
      </c>
    </row>
    <row r="292" spans="1:13" ht="15.75">
      <c r="A292" s="17" t="s">
        <v>37</v>
      </c>
      <c r="B292" s="17" t="s">
        <v>48</v>
      </c>
      <c r="C292" s="17" t="s">
        <v>39</v>
      </c>
      <c r="D292" s="17" t="s">
        <v>46</v>
      </c>
      <c r="E292" s="17" t="s">
        <v>50</v>
      </c>
      <c r="F292" s="17">
        <v>71719</v>
      </c>
      <c r="G292" s="17">
        <v>1659</v>
      </c>
      <c r="H292" s="17">
        <v>47</v>
      </c>
      <c r="I292" s="17">
        <v>2065.85</v>
      </c>
      <c r="J292" s="17">
        <v>38809.42</v>
      </c>
      <c r="K292" s="17">
        <v>780</v>
      </c>
      <c r="L292" s="17">
        <v>78</v>
      </c>
      <c r="M292" s="17">
        <v>25</v>
      </c>
    </row>
    <row r="293" spans="1:13" ht="15.75">
      <c r="A293" s="17" t="s">
        <v>37</v>
      </c>
      <c r="B293" s="17" t="s">
        <v>48</v>
      </c>
      <c r="C293" s="17" t="s">
        <v>49</v>
      </c>
      <c r="D293" s="17" t="s">
        <v>46</v>
      </c>
      <c r="E293" s="17" t="s">
        <v>50</v>
      </c>
      <c r="F293" s="17">
        <v>44687</v>
      </c>
      <c r="G293" s="17">
        <v>666</v>
      </c>
      <c r="H293" s="17">
        <v>11</v>
      </c>
      <c r="I293" s="17">
        <v>4347.6000000000004</v>
      </c>
      <c r="J293" s="17">
        <v>14984.32</v>
      </c>
      <c r="K293" s="17">
        <v>331</v>
      </c>
      <c r="L293" s="17">
        <v>28</v>
      </c>
      <c r="M293" s="17">
        <v>7</v>
      </c>
    </row>
    <row r="294" spans="1:13" ht="15.75">
      <c r="A294" s="17" t="s">
        <v>51</v>
      </c>
      <c r="B294" s="17" t="s">
        <v>38</v>
      </c>
      <c r="C294" s="17" t="s">
        <v>49</v>
      </c>
      <c r="D294" s="17" t="s">
        <v>40</v>
      </c>
      <c r="E294" s="17" t="s">
        <v>50</v>
      </c>
      <c r="F294" s="17">
        <v>28973</v>
      </c>
      <c r="G294" s="17">
        <v>184</v>
      </c>
      <c r="H294" s="17">
        <v>3</v>
      </c>
      <c r="I294" s="17">
        <v>7686.34</v>
      </c>
      <c r="J294" s="17">
        <v>1854.62</v>
      </c>
      <c r="K294" s="17">
        <v>83</v>
      </c>
      <c r="L294" s="17">
        <v>4</v>
      </c>
      <c r="M294" s="17">
        <v>3</v>
      </c>
    </row>
    <row r="295" spans="1:13" ht="15.75">
      <c r="A295" s="17" t="s">
        <v>42</v>
      </c>
      <c r="B295" s="17" t="s">
        <v>38</v>
      </c>
      <c r="C295" s="17" t="s">
        <v>45</v>
      </c>
      <c r="D295" s="17" t="s">
        <v>40</v>
      </c>
      <c r="E295" s="17" t="s">
        <v>41</v>
      </c>
      <c r="F295" s="17">
        <v>56766</v>
      </c>
      <c r="G295" s="17">
        <v>593</v>
      </c>
      <c r="H295" s="17">
        <v>21</v>
      </c>
      <c r="I295" s="17">
        <v>7899.2</v>
      </c>
      <c r="J295" s="17">
        <v>29739.15</v>
      </c>
      <c r="K295" s="17">
        <v>236</v>
      </c>
      <c r="L295" s="17">
        <v>22</v>
      </c>
      <c r="M295" s="17">
        <v>22</v>
      </c>
    </row>
    <row r="296" spans="1:13" ht="15.75">
      <c r="A296" s="17" t="s">
        <v>52</v>
      </c>
      <c r="B296" s="17" t="s">
        <v>48</v>
      </c>
      <c r="C296" s="17" t="s">
        <v>49</v>
      </c>
      <c r="D296" s="17" t="s">
        <v>40</v>
      </c>
      <c r="E296" s="17" t="s">
        <v>56</v>
      </c>
      <c r="F296" s="18">
        <v>0</v>
      </c>
      <c r="G296" s="17">
        <v>3058</v>
      </c>
      <c r="H296" s="18">
        <v>0</v>
      </c>
      <c r="I296" s="17">
        <v>2265.73</v>
      </c>
      <c r="J296" s="17">
        <v>128074.98</v>
      </c>
      <c r="K296" s="18">
        <v>0</v>
      </c>
      <c r="L296" s="18">
        <v>0</v>
      </c>
      <c r="M296" s="18">
        <v>0</v>
      </c>
    </row>
    <row r="297" spans="1:13" ht="15.75">
      <c r="A297" s="17" t="s">
        <v>37</v>
      </c>
      <c r="B297" s="17" t="s">
        <v>44</v>
      </c>
      <c r="C297" s="17" t="s">
        <v>54</v>
      </c>
      <c r="D297" s="17" t="s">
        <v>46</v>
      </c>
      <c r="E297" s="17" t="s">
        <v>41</v>
      </c>
      <c r="F297" s="17">
        <v>48460</v>
      </c>
      <c r="G297" s="17">
        <v>971</v>
      </c>
      <c r="H297" s="17">
        <v>16</v>
      </c>
      <c r="I297" s="17">
        <v>3296.56</v>
      </c>
      <c r="J297" s="17">
        <v>20370.43</v>
      </c>
      <c r="K297" s="17">
        <v>359</v>
      </c>
      <c r="L297" s="17">
        <v>26</v>
      </c>
      <c r="M297" s="17">
        <v>13</v>
      </c>
    </row>
    <row r="298" spans="1:13" ht="15.75">
      <c r="A298" s="17" t="s">
        <v>37</v>
      </c>
      <c r="B298" s="17" t="s">
        <v>48</v>
      </c>
      <c r="C298" s="17" t="s">
        <v>39</v>
      </c>
      <c r="D298" s="17" t="s">
        <v>40</v>
      </c>
      <c r="E298" s="17" t="s">
        <v>47</v>
      </c>
      <c r="F298" s="17">
        <v>46369</v>
      </c>
      <c r="G298" s="17">
        <v>831</v>
      </c>
      <c r="H298" s="17">
        <v>25</v>
      </c>
      <c r="I298" s="17">
        <v>6648.67</v>
      </c>
      <c r="J298" s="17">
        <v>12931.69</v>
      </c>
      <c r="K298" s="17">
        <v>331</v>
      </c>
      <c r="L298" s="17">
        <v>39</v>
      </c>
      <c r="M298" s="17">
        <v>9</v>
      </c>
    </row>
    <row r="299" spans="1:13" ht="15.75">
      <c r="A299" s="17" t="s">
        <v>51</v>
      </c>
      <c r="B299" s="17" t="s">
        <v>38</v>
      </c>
      <c r="C299" s="17" t="s">
        <v>49</v>
      </c>
      <c r="D299" s="17" t="s">
        <v>40</v>
      </c>
      <c r="E299" s="17" t="s">
        <v>50</v>
      </c>
      <c r="F299" s="17">
        <v>15231</v>
      </c>
      <c r="G299" s="17">
        <v>239</v>
      </c>
      <c r="H299" s="17">
        <v>4</v>
      </c>
      <c r="I299" s="17">
        <v>4103.6899999999996</v>
      </c>
      <c r="J299" s="18">
        <v>0</v>
      </c>
      <c r="K299" s="17">
        <v>74</v>
      </c>
      <c r="L299" s="17">
        <v>7</v>
      </c>
      <c r="M299" s="17">
        <v>4</v>
      </c>
    </row>
    <row r="300" spans="1:13" ht="15.75">
      <c r="A300" s="17" t="s">
        <v>51</v>
      </c>
      <c r="B300" s="17" t="s">
        <v>38</v>
      </c>
      <c r="C300" s="17" t="s">
        <v>49</v>
      </c>
      <c r="D300" s="17" t="s">
        <v>40</v>
      </c>
      <c r="E300" s="18" t="s">
        <v>65</v>
      </c>
      <c r="F300" s="17">
        <v>20835</v>
      </c>
      <c r="G300" s="17">
        <v>191</v>
      </c>
      <c r="H300" s="17">
        <v>3</v>
      </c>
      <c r="I300" s="17">
        <v>2330.11</v>
      </c>
      <c r="J300" s="17">
        <v>4416.41</v>
      </c>
      <c r="K300" s="17">
        <v>95</v>
      </c>
      <c r="L300" s="17">
        <v>8</v>
      </c>
      <c r="M300" s="17">
        <v>7</v>
      </c>
    </row>
    <row r="301" spans="1:13" ht="15.75">
      <c r="A301" s="17" t="s">
        <v>42</v>
      </c>
      <c r="B301" s="17" t="s">
        <v>44</v>
      </c>
      <c r="C301" s="17" t="s">
        <v>45</v>
      </c>
      <c r="D301" s="17" t="s">
        <v>40</v>
      </c>
      <c r="E301" s="17" t="s">
        <v>41</v>
      </c>
      <c r="F301" s="17">
        <v>34382</v>
      </c>
      <c r="G301" s="17">
        <v>164</v>
      </c>
      <c r="H301" s="17">
        <v>2</v>
      </c>
      <c r="I301" s="17">
        <v>8817.7999999999993</v>
      </c>
      <c r="J301" s="17">
        <v>1027.8699999999999</v>
      </c>
      <c r="K301" s="17">
        <v>57</v>
      </c>
      <c r="L301" s="17">
        <v>7</v>
      </c>
      <c r="M301" s="17">
        <v>2</v>
      </c>
    </row>
    <row r="302" spans="1:13" ht="15.75">
      <c r="A302" s="17" t="s">
        <v>52</v>
      </c>
      <c r="B302" s="17" t="s">
        <v>44</v>
      </c>
      <c r="C302" s="17" t="s">
        <v>45</v>
      </c>
      <c r="D302" s="17" t="s">
        <v>40</v>
      </c>
      <c r="E302" s="17" t="s">
        <v>56</v>
      </c>
      <c r="F302" s="17">
        <v>72491</v>
      </c>
      <c r="G302" s="17">
        <v>644</v>
      </c>
      <c r="H302" s="17">
        <v>17</v>
      </c>
      <c r="I302" s="17">
        <v>6611.81</v>
      </c>
      <c r="J302" s="17">
        <v>11397.64</v>
      </c>
      <c r="K302" s="18">
        <v>0</v>
      </c>
      <c r="L302" s="18">
        <v>0</v>
      </c>
      <c r="M302" s="18">
        <v>0</v>
      </c>
    </row>
    <row r="303" spans="1:13" ht="15.75">
      <c r="A303" s="17" t="s">
        <v>37</v>
      </c>
      <c r="B303" s="17" t="s">
        <v>44</v>
      </c>
      <c r="C303" s="17" t="s">
        <v>54</v>
      </c>
      <c r="D303" s="17" t="s">
        <v>46</v>
      </c>
      <c r="E303" s="17" t="s">
        <v>50</v>
      </c>
      <c r="F303" s="17">
        <v>74420</v>
      </c>
      <c r="G303" s="17">
        <v>905</v>
      </c>
      <c r="H303" s="17">
        <v>28</v>
      </c>
      <c r="I303" s="17">
        <v>6351.99</v>
      </c>
      <c r="J303" s="17">
        <v>35711.21</v>
      </c>
      <c r="K303" s="17">
        <v>438</v>
      </c>
      <c r="L303" s="17">
        <v>52</v>
      </c>
      <c r="M303" s="17">
        <v>15</v>
      </c>
    </row>
    <row r="307" spans="1:5" ht="15.75">
      <c r="A307" s="96" t="s">
        <v>68</v>
      </c>
      <c r="B307" s="96"/>
      <c r="C307" s="96"/>
      <c r="D307" s="96"/>
      <c r="E307" s="96"/>
    </row>
  </sheetData>
  <mergeCells count="3">
    <mergeCell ref="A307:E307"/>
    <mergeCell ref="A1:M1"/>
    <mergeCell ref="A3:M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EAD5A-7AE2-43E9-9948-32D6AA9A9B5A}">
  <sheetPr>
    <tabColor theme="3" tint="0.499984740745262"/>
  </sheetPr>
  <dimension ref="A1:E53"/>
  <sheetViews>
    <sheetView topLeftCell="A45" workbookViewId="0">
      <selection activeCell="C57" sqref="C57"/>
    </sheetView>
  </sheetViews>
  <sheetFormatPr defaultRowHeight="15"/>
  <cols>
    <col min="1" max="1" width="27.140625" customWidth="1"/>
    <col min="2" max="2" width="36.5703125" bestFit="1" customWidth="1"/>
    <col min="3" max="3" width="33.28515625" customWidth="1"/>
    <col min="4" max="5" width="36.5703125" bestFit="1" customWidth="1"/>
  </cols>
  <sheetData>
    <row r="1" spans="1:5" ht="33" customHeight="1">
      <c r="A1" s="104" t="s">
        <v>69</v>
      </c>
      <c r="B1" s="105"/>
      <c r="C1" s="105"/>
      <c r="D1" s="105"/>
      <c r="E1" s="105"/>
    </row>
    <row r="3" spans="1:5" ht="38.25" customHeight="1">
      <c r="A3" s="106" t="s">
        <v>70</v>
      </c>
      <c r="B3" s="107"/>
      <c r="C3" s="107"/>
      <c r="D3" s="107"/>
      <c r="E3" s="107"/>
    </row>
    <row r="7" spans="1:5" ht="21">
      <c r="A7" s="2" t="s">
        <v>71</v>
      </c>
      <c r="B7" s="3" t="s">
        <v>72</v>
      </c>
      <c r="C7" s="3" t="s">
        <v>73</v>
      </c>
      <c r="D7" s="3" t="s">
        <v>74</v>
      </c>
      <c r="E7" s="3" t="s">
        <v>75</v>
      </c>
    </row>
    <row r="8" spans="1:5" ht="30.75">
      <c r="A8" s="15" t="s">
        <v>25</v>
      </c>
      <c r="B8" s="88" t="s">
        <v>76</v>
      </c>
      <c r="C8" s="16" t="s">
        <v>77</v>
      </c>
      <c r="D8" s="88" t="s">
        <v>78</v>
      </c>
      <c r="E8" s="88" t="s">
        <v>79</v>
      </c>
    </row>
    <row r="9" spans="1:5" ht="15.75">
      <c r="A9" s="15" t="s">
        <v>7</v>
      </c>
      <c r="B9" t="s">
        <v>80</v>
      </c>
      <c r="C9" t="s">
        <v>81</v>
      </c>
      <c r="D9" s="16" t="s">
        <v>82</v>
      </c>
      <c r="E9" t="s">
        <v>83</v>
      </c>
    </row>
    <row r="10" spans="1:5" ht="15.75">
      <c r="A10" s="15" t="s">
        <v>26</v>
      </c>
      <c r="B10" t="s">
        <v>84</v>
      </c>
      <c r="C10" t="s">
        <v>85</v>
      </c>
      <c r="D10" t="s">
        <v>78</v>
      </c>
      <c r="E10" t="s">
        <v>86</v>
      </c>
    </row>
    <row r="11" spans="1:5" ht="29.25">
      <c r="A11" s="15" t="s">
        <v>27</v>
      </c>
      <c r="B11" t="s">
        <v>87</v>
      </c>
      <c r="C11" s="6" t="s">
        <v>88</v>
      </c>
      <c r="D11" t="s">
        <v>78</v>
      </c>
      <c r="E11" t="s">
        <v>89</v>
      </c>
    </row>
    <row r="12" spans="1:5" ht="29.25">
      <c r="A12" s="15" t="s">
        <v>90</v>
      </c>
      <c r="B12" t="s">
        <v>91</v>
      </c>
      <c r="C12" s="6" t="s">
        <v>92</v>
      </c>
      <c r="D12" t="s">
        <v>93</v>
      </c>
      <c r="E12" t="s">
        <v>94</v>
      </c>
    </row>
    <row r="13" spans="1:5" ht="15.75">
      <c r="A13" s="15" t="s">
        <v>95</v>
      </c>
      <c r="B13" t="s">
        <v>96</v>
      </c>
      <c r="C13" t="s">
        <v>97</v>
      </c>
      <c r="D13" t="s">
        <v>98</v>
      </c>
      <c r="E13" t="s">
        <v>99</v>
      </c>
    </row>
    <row r="14" spans="1:5" ht="15.75">
      <c r="A14" s="15" t="s">
        <v>100</v>
      </c>
      <c r="B14" t="s">
        <v>101</v>
      </c>
      <c r="C14" t="s">
        <v>97</v>
      </c>
      <c r="D14" t="s">
        <v>98</v>
      </c>
      <c r="E14" t="s">
        <v>102</v>
      </c>
    </row>
    <row r="15" spans="1:5" ht="15.75">
      <c r="A15" s="15" t="s">
        <v>103</v>
      </c>
      <c r="B15" t="s">
        <v>104</v>
      </c>
      <c r="C15" t="s">
        <v>105</v>
      </c>
      <c r="D15" t="s">
        <v>98</v>
      </c>
      <c r="E15" t="s">
        <v>106</v>
      </c>
    </row>
    <row r="16" spans="1:5" ht="15.75">
      <c r="A16" s="15" t="s">
        <v>107</v>
      </c>
      <c r="B16" t="s">
        <v>108</v>
      </c>
      <c r="C16" t="s">
        <v>109</v>
      </c>
      <c r="D16" t="s">
        <v>98</v>
      </c>
      <c r="E16" t="s">
        <v>110</v>
      </c>
    </row>
    <row r="17" spans="1:5" ht="15.75">
      <c r="A17" s="15" t="s">
        <v>111</v>
      </c>
      <c r="B17" t="s">
        <v>112</v>
      </c>
      <c r="C17" t="s">
        <v>113</v>
      </c>
      <c r="D17" t="s">
        <v>98</v>
      </c>
      <c r="E17" t="s">
        <v>114</v>
      </c>
    </row>
    <row r="18" spans="1:5" ht="15.75">
      <c r="A18" s="15" t="s">
        <v>115</v>
      </c>
      <c r="B18" t="s">
        <v>116</v>
      </c>
      <c r="C18" t="s">
        <v>97</v>
      </c>
      <c r="D18" t="s">
        <v>98</v>
      </c>
      <c r="E18" t="s">
        <v>117</v>
      </c>
    </row>
    <row r="21" spans="1:5" ht="18">
      <c r="A21" s="4"/>
      <c r="B21" s="6"/>
    </row>
    <row r="22" spans="1:5" ht="18.75">
      <c r="A22" s="102" t="s">
        <v>118</v>
      </c>
      <c r="B22" s="102"/>
      <c r="C22" s="102"/>
      <c r="D22" s="102"/>
      <c r="E22" s="102"/>
    </row>
    <row r="23" spans="1:5" ht="15.75">
      <c r="A23" s="103" t="s">
        <v>119</v>
      </c>
      <c r="B23" s="103"/>
      <c r="C23" s="103"/>
      <c r="D23" s="103"/>
      <c r="E23" s="103"/>
    </row>
    <row r="24" spans="1:5" ht="15.75">
      <c r="A24" s="103" t="s">
        <v>120</v>
      </c>
      <c r="B24" s="103"/>
      <c r="C24" s="103"/>
      <c r="D24" s="103"/>
      <c r="E24" s="103"/>
    </row>
    <row r="25" spans="1:5" ht="15.75">
      <c r="A25" s="108" t="s">
        <v>121</v>
      </c>
      <c r="B25" s="109"/>
      <c r="C25" s="109"/>
      <c r="D25" s="109"/>
      <c r="E25" s="109"/>
    </row>
    <row r="26" spans="1:5" ht="15.75">
      <c r="A26" s="108" t="s">
        <v>122</v>
      </c>
      <c r="B26" s="109"/>
      <c r="C26" s="109"/>
      <c r="D26" s="109"/>
      <c r="E26" s="109"/>
    </row>
    <row r="27" spans="1:5" ht="15.75">
      <c r="A27" s="103" t="s">
        <v>123</v>
      </c>
      <c r="B27" s="103"/>
      <c r="C27" s="103"/>
      <c r="D27" s="103"/>
      <c r="E27" s="103"/>
    </row>
    <row r="28" spans="1:5" ht="15" customHeight="1">
      <c r="A28" s="103" t="s">
        <v>124</v>
      </c>
      <c r="B28" s="103"/>
      <c r="C28" s="103"/>
      <c r="D28" s="103"/>
      <c r="E28" s="103"/>
    </row>
    <row r="29" spans="1:5" ht="15.75">
      <c r="A29" s="103" t="s">
        <v>125</v>
      </c>
      <c r="B29" s="103"/>
      <c r="C29" s="103"/>
      <c r="D29" s="103"/>
      <c r="E29" s="103"/>
    </row>
    <row r="30" spans="1:5">
      <c r="B30" s="6"/>
    </row>
    <row r="31" spans="1:5">
      <c r="B31" s="6"/>
    </row>
    <row r="32" spans="1:5">
      <c r="B32" s="6"/>
    </row>
    <row r="33" spans="1:5" ht="15.75">
      <c r="A33" s="101" t="s">
        <v>126</v>
      </c>
      <c r="B33" s="101"/>
      <c r="C33" s="101"/>
    </row>
    <row r="34" spans="1:5">
      <c r="A34" s="46" t="s">
        <v>127</v>
      </c>
      <c r="B34" s="47" t="s">
        <v>128</v>
      </c>
      <c r="C34" s="48" t="s">
        <v>129</v>
      </c>
    </row>
    <row r="35" spans="1:5">
      <c r="A35" s="37" t="s">
        <v>130</v>
      </c>
      <c r="B35" s="38">
        <v>305</v>
      </c>
      <c r="C35" s="39">
        <v>299</v>
      </c>
    </row>
    <row r="36" spans="1:5">
      <c r="A36" s="37" t="s">
        <v>131</v>
      </c>
      <c r="B36" s="38" t="s">
        <v>132</v>
      </c>
      <c r="C36" s="39" t="s">
        <v>133</v>
      </c>
    </row>
    <row r="37" spans="1:5">
      <c r="A37" s="37" t="s">
        <v>134</v>
      </c>
      <c r="B37" s="40" t="s">
        <v>135</v>
      </c>
      <c r="C37" s="41" t="s">
        <v>136</v>
      </c>
    </row>
    <row r="38" spans="1:5">
      <c r="A38" s="37" t="s">
        <v>137</v>
      </c>
      <c r="B38" s="40" t="s">
        <v>138</v>
      </c>
      <c r="C38" s="41" t="s">
        <v>139</v>
      </c>
    </row>
    <row r="39" spans="1:5">
      <c r="A39" s="37" t="s">
        <v>140</v>
      </c>
      <c r="B39" s="40" t="s">
        <v>141</v>
      </c>
      <c r="C39" s="41" t="s">
        <v>142</v>
      </c>
    </row>
    <row r="40" spans="1:5">
      <c r="A40" s="37" t="s">
        <v>143</v>
      </c>
      <c r="B40" s="40" t="s">
        <v>144</v>
      </c>
      <c r="C40" s="41" t="s">
        <v>145</v>
      </c>
    </row>
    <row r="41" spans="1:5">
      <c r="A41" s="42" t="s">
        <v>146</v>
      </c>
      <c r="B41" s="40" t="s">
        <v>147</v>
      </c>
      <c r="C41" s="41" t="s">
        <v>148</v>
      </c>
    </row>
    <row r="42" spans="1:5">
      <c r="A42" s="44" t="s">
        <v>149</v>
      </c>
      <c r="B42" s="45" t="s">
        <v>150</v>
      </c>
      <c r="C42" s="43" t="s">
        <v>151</v>
      </c>
    </row>
    <row r="43" spans="1:5" ht="17.25" customHeight="1">
      <c r="A43" s="7"/>
      <c r="B43" s="6"/>
      <c r="C43" s="6"/>
      <c r="D43" s="6"/>
      <c r="E43" s="6"/>
    </row>
    <row r="44" spans="1:5" ht="17.25" customHeight="1">
      <c r="A44" s="7"/>
      <c r="B44" s="6"/>
      <c r="C44" s="6"/>
      <c r="D44" s="6"/>
      <c r="E44" s="6"/>
    </row>
    <row r="45" spans="1:5" ht="18" customHeight="1">
      <c r="A45" s="7"/>
      <c r="B45" s="6"/>
      <c r="C45" s="6"/>
      <c r="D45" s="6"/>
      <c r="E45" s="6"/>
    </row>
    <row r="46" spans="1:5" ht="17.25" customHeight="1">
      <c r="A46" s="100" t="s">
        <v>152</v>
      </c>
      <c r="B46" s="100"/>
      <c r="C46" s="100"/>
      <c r="D46" s="100"/>
      <c r="E46" s="6"/>
    </row>
    <row r="47" spans="1:5">
      <c r="A47" s="34" t="s">
        <v>153</v>
      </c>
      <c r="B47" s="35" t="s">
        <v>154</v>
      </c>
      <c r="C47" s="34" t="s">
        <v>73</v>
      </c>
      <c r="D47" s="35" t="s">
        <v>155</v>
      </c>
      <c r="E47" s="6"/>
    </row>
    <row r="48" spans="1:5" ht="29.25">
      <c r="A48" t="s">
        <v>156</v>
      </c>
      <c r="B48" s="6" t="s">
        <v>157</v>
      </c>
      <c r="C48" s="6" t="s">
        <v>158</v>
      </c>
      <c r="D48" t="s">
        <v>159</v>
      </c>
    </row>
    <row r="49" spans="1:4">
      <c r="A49" s="6"/>
    </row>
    <row r="52" spans="1:4" ht="15" customHeight="1">
      <c r="A52" s="99" t="s">
        <v>160</v>
      </c>
      <c r="B52" s="99"/>
      <c r="C52" s="99"/>
      <c r="D52" s="99"/>
    </row>
    <row r="53" spans="1:4" ht="18" customHeight="1">
      <c r="A53" s="99"/>
      <c r="B53" s="99"/>
      <c r="C53" s="99"/>
      <c r="D53" s="99"/>
    </row>
  </sheetData>
  <mergeCells count="13">
    <mergeCell ref="A1:E1"/>
    <mergeCell ref="A3:E3"/>
    <mergeCell ref="A25:E25"/>
    <mergeCell ref="A26:E26"/>
    <mergeCell ref="A27:E27"/>
    <mergeCell ref="A52:D53"/>
    <mergeCell ref="A46:D46"/>
    <mergeCell ref="A33:C33"/>
    <mergeCell ref="A22:E22"/>
    <mergeCell ref="A23:E23"/>
    <mergeCell ref="A24:E24"/>
    <mergeCell ref="A28:E28"/>
    <mergeCell ref="A29:E29"/>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EDCAF-F4F5-4C6C-8B9B-A4896FFA825E}">
  <sheetPr>
    <tabColor theme="8" tint="0.59999389629810485"/>
  </sheetPr>
  <dimension ref="A1:T303"/>
  <sheetViews>
    <sheetView workbookViewId="0">
      <selection activeCell="K25" sqref="K25"/>
    </sheetView>
  </sheetViews>
  <sheetFormatPr defaultRowHeight="15"/>
  <cols>
    <col min="1" max="1" width="15.28515625" bestFit="1" customWidth="1"/>
    <col min="2" max="2" width="16.140625" bestFit="1" customWidth="1"/>
    <col min="3" max="3" width="12.85546875" bestFit="1" customWidth="1"/>
    <col min="4" max="4" width="12.42578125" bestFit="1" customWidth="1"/>
    <col min="5" max="5" width="13.85546875" bestFit="1" customWidth="1"/>
    <col min="6" max="6" width="20" bestFit="1" customWidth="1"/>
    <col min="7" max="7" width="11.28515625" bestFit="1" customWidth="1"/>
    <col min="8" max="8" width="19.85546875" bestFit="1" customWidth="1"/>
    <col min="9" max="9" width="16.5703125" bestFit="1" customWidth="1"/>
    <col min="10" max="10" width="19.140625" bestFit="1" customWidth="1"/>
    <col min="11" max="11" width="9.7109375" bestFit="1" customWidth="1"/>
    <col min="12" max="12" width="17.7109375" bestFit="1" customWidth="1"/>
    <col min="13" max="13" width="12.5703125" bestFit="1" customWidth="1"/>
    <col min="14" max="14" width="10" bestFit="1" customWidth="1"/>
    <col min="16" max="16" width="9.28515625" bestFit="1" customWidth="1"/>
    <col min="17" max="17" width="26.140625" bestFit="1" customWidth="1"/>
    <col min="19" max="19" width="27.85546875" bestFit="1" customWidth="1"/>
    <col min="20" max="20" width="19.5703125" bestFit="1" customWidth="1"/>
  </cols>
  <sheetData>
    <row r="1" spans="1:20" ht="31.5">
      <c r="A1" s="58" t="s">
        <v>161</v>
      </c>
      <c r="B1" s="59"/>
      <c r="C1" s="59"/>
      <c r="D1" s="59"/>
      <c r="E1" s="111" t="s">
        <v>162</v>
      </c>
      <c r="F1" s="112"/>
      <c r="G1" s="112"/>
      <c r="H1" s="112"/>
      <c r="I1" s="59"/>
      <c r="J1" s="59"/>
      <c r="K1" s="59"/>
      <c r="L1" s="59"/>
      <c r="M1" s="59"/>
      <c r="N1" s="59"/>
      <c r="O1" s="59"/>
      <c r="P1" s="59"/>
      <c r="Q1" s="59"/>
      <c r="R1" s="59"/>
      <c r="S1" s="59"/>
      <c r="T1" s="59"/>
    </row>
    <row r="3" spans="1:20">
      <c r="A3" s="110" t="s">
        <v>163</v>
      </c>
      <c r="B3" s="110"/>
      <c r="C3" s="110"/>
      <c r="D3" s="110"/>
      <c r="E3" s="110"/>
      <c r="F3" s="110"/>
      <c r="G3" s="110"/>
      <c r="H3" s="110"/>
      <c r="I3" s="110"/>
      <c r="J3" s="110"/>
    </row>
    <row r="5" spans="1:20" s="22" customFormat="1" ht="20.25">
      <c r="A5" s="25" t="s">
        <v>25</v>
      </c>
      <c r="B5" s="26" t="s">
        <v>7</v>
      </c>
      <c r="C5" s="26" t="s">
        <v>26</v>
      </c>
      <c r="D5" s="26" t="s">
        <v>27</v>
      </c>
      <c r="E5" s="26" t="s">
        <v>28</v>
      </c>
      <c r="F5" s="26" t="s">
        <v>29</v>
      </c>
      <c r="G5" s="26" t="s">
        <v>30</v>
      </c>
      <c r="H5" s="26" t="s">
        <v>31</v>
      </c>
      <c r="I5" s="26" t="s">
        <v>32</v>
      </c>
      <c r="J5" s="26" t="s">
        <v>33</v>
      </c>
      <c r="K5" s="26" t="s">
        <v>34</v>
      </c>
      <c r="L5" s="26" t="s">
        <v>35</v>
      </c>
      <c r="M5" s="26" t="s">
        <v>36</v>
      </c>
      <c r="N5" s="28" t="s">
        <v>164</v>
      </c>
      <c r="O5" s="28" t="s">
        <v>165</v>
      </c>
      <c r="P5" s="28" t="s">
        <v>166</v>
      </c>
      <c r="Q5" s="28" t="s">
        <v>167</v>
      </c>
      <c r="R5" s="28" t="s">
        <v>168</v>
      </c>
      <c r="S5" s="28" t="s">
        <v>169</v>
      </c>
      <c r="T5" s="28" t="s">
        <v>170</v>
      </c>
    </row>
    <row r="6" spans="1:20" ht="15.75" customHeight="1">
      <c r="A6" s="23" t="s">
        <v>52</v>
      </c>
      <c r="B6" s="20" t="s">
        <v>43</v>
      </c>
      <c r="C6" s="20" t="s">
        <v>39</v>
      </c>
      <c r="D6" s="20" t="s">
        <v>40</v>
      </c>
      <c r="E6" s="20" t="s">
        <v>56</v>
      </c>
      <c r="F6" s="20">
        <v>14667</v>
      </c>
      <c r="G6" s="20">
        <v>383</v>
      </c>
      <c r="H6" s="20">
        <v>8</v>
      </c>
      <c r="I6" s="20">
        <v>8986.5400000000009</v>
      </c>
      <c r="J6" s="20">
        <v>6161.86</v>
      </c>
      <c r="K6" s="20">
        <v>0</v>
      </c>
      <c r="L6" s="20">
        <v>0</v>
      </c>
      <c r="M6" s="20">
        <v>0</v>
      </c>
      <c r="N6" s="29">
        <f>IF(Table2[[#This Row],[impressions]]=0,0,Table2[[#This Row],[spend_inr]]/Table2[[#This Row],[impressions]]*1000)</f>
        <v>612.7047112565624</v>
      </c>
      <c r="O6" s="31">
        <f>IF(Table2[[#This Row],[impressions]]=0,0,Table2[[#This Row],[clicks]]/Table2[[#This Row],[impressions]])</f>
        <v>2.611304288538897E-2</v>
      </c>
      <c r="P6" s="32">
        <f>IF(Table2[[#This Row],[clicks]]=0,0,Table2[[#This Row],[spend_inr]]/Table2[[#This Row],[clicks]])</f>
        <v>23.463550913838123</v>
      </c>
      <c r="Q6" s="31">
        <f>IF(Table2[[#This Row],[clicks]]=0,0,Table2[[#This Row],[conversions]]/Table2[[#This Row],[clicks]])</f>
        <v>2.0887728459530026E-2</v>
      </c>
      <c r="R6" s="30">
        <f>IF(Table2[[#This Row],[spend_inr]]=0,0,(Table2[[#This Row],[revenue_inr]]-Table2[[#This Row],[spend_inr]])/Table2[[#This Row],[spend_inr]])</f>
        <v>-0.31432342147255793</v>
      </c>
      <c r="S6" s="31">
        <f>IF(Table2[[#This Row],[impressions]]=0,0,(Table2[[#This Row],[likes]]+Table2[[#This Row],[comments]]+Table2[[#This Row],[shares]])/Table2[[#This Row],[impressions]])</f>
        <v>0</v>
      </c>
      <c r="T6" s="27"/>
    </row>
    <row r="7" spans="1:20" ht="15.75">
      <c r="A7" s="23" t="s">
        <v>51</v>
      </c>
      <c r="B7" s="20" t="s">
        <v>44</v>
      </c>
      <c r="C7" s="20" t="s">
        <v>55</v>
      </c>
      <c r="D7" s="20" t="s">
        <v>40</v>
      </c>
      <c r="E7" s="20" t="s">
        <v>50</v>
      </c>
      <c r="F7" s="20">
        <v>0</v>
      </c>
      <c r="G7" s="20">
        <v>331</v>
      </c>
      <c r="H7" s="20">
        <v>3</v>
      </c>
      <c r="I7" s="20">
        <v>8945.34</v>
      </c>
      <c r="J7" s="20">
        <v>1599.87</v>
      </c>
      <c r="K7" s="20">
        <v>128</v>
      </c>
      <c r="L7" s="20">
        <v>14</v>
      </c>
      <c r="M7" s="20">
        <v>9</v>
      </c>
      <c r="N7" s="29">
        <f>IF(Table2[[#This Row],[impressions]]=0,0,Table2[[#This Row],[spend_inr]]/Table2[[#This Row],[impressions]]*1000)</f>
        <v>0</v>
      </c>
      <c r="O7" s="31">
        <f>IF(Table2[[#This Row],[impressions]]=0,0,Table2[[#This Row],[clicks]]/Table2[[#This Row],[impressions]])</f>
        <v>0</v>
      </c>
      <c r="P7" s="32">
        <f>IF(Table2[[#This Row],[clicks]]=0,0,Table2[[#This Row],[spend_inr]]/Table2[[#This Row],[clicks]])</f>
        <v>27.025196374622357</v>
      </c>
      <c r="Q7" s="31">
        <f>IF(Table2[[#This Row],[clicks]]=0,0,Table2[[#This Row],[conversions]]/Table2[[#This Row],[clicks]])</f>
        <v>9.0634441087613302E-3</v>
      </c>
      <c r="R7" s="30">
        <f>IF(Table2[[#This Row],[spend_inr]]=0,0,(Table2[[#This Row],[revenue_inr]]-Table2[[#This Row],[spend_inr]])/Table2[[#This Row],[spend_inr]])</f>
        <v>-0.82115045375581031</v>
      </c>
      <c r="S7" s="31">
        <f>IF(Table2[[#This Row],[impressions]]=0,0,(Table2[[#This Row],[likes]]+Table2[[#This Row],[comments]]+Table2[[#This Row],[shares]])/Table2[[#This Row],[impressions]])</f>
        <v>0</v>
      </c>
      <c r="T7" s="27"/>
    </row>
    <row r="8" spans="1:20" ht="15.75">
      <c r="A8" s="23" t="s">
        <v>42</v>
      </c>
      <c r="B8" s="20" t="s">
        <v>44</v>
      </c>
      <c r="C8" s="20" t="s">
        <v>54</v>
      </c>
      <c r="D8" s="20" t="s">
        <v>46</v>
      </c>
      <c r="E8" s="20" t="s">
        <v>41</v>
      </c>
      <c r="F8" s="20">
        <v>12138</v>
      </c>
      <c r="G8" s="20">
        <v>127</v>
      </c>
      <c r="H8" s="20">
        <v>1</v>
      </c>
      <c r="I8" s="20">
        <v>8922.42</v>
      </c>
      <c r="J8" s="20">
        <v>868.03</v>
      </c>
      <c r="K8" s="20">
        <v>58</v>
      </c>
      <c r="L8" s="20">
        <v>5</v>
      </c>
      <c r="M8" s="20">
        <v>4</v>
      </c>
      <c r="N8" s="29">
        <f>IF(Table2[[#This Row],[impressions]]=0,0,Table2[[#This Row],[spend_inr]]/Table2[[#This Row],[impressions]]*1000)</f>
        <v>735.08156203657938</v>
      </c>
      <c r="O8" s="31">
        <f>IF(Table2[[#This Row],[impressions]]=0,0,Table2[[#This Row],[clicks]]/Table2[[#This Row],[impressions]])</f>
        <v>1.0463008732904927E-2</v>
      </c>
      <c r="P8" s="32">
        <f>IF(Table2[[#This Row],[clicks]]=0,0,Table2[[#This Row],[spend_inr]]/Table2[[#This Row],[clicks]])</f>
        <v>70.255275590551179</v>
      </c>
      <c r="Q8" s="31">
        <f>IF(Table2[[#This Row],[clicks]]=0,0,Table2[[#This Row],[conversions]]/Table2[[#This Row],[clicks]])</f>
        <v>7.874015748031496E-3</v>
      </c>
      <c r="R8" s="30">
        <f>IF(Table2[[#This Row],[spend_inr]]=0,0,(Table2[[#This Row],[revenue_inr]]-Table2[[#This Row],[spend_inr]])/Table2[[#This Row],[spend_inr]])</f>
        <v>-0.90271361357120605</v>
      </c>
      <c r="S8" s="31">
        <f>IF(Table2[[#This Row],[impressions]]=0,0,(Table2[[#This Row],[likes]]+Table2[[#This Row],[comments]]+Table2[[#This Row],[shares]])/Table2[[#This Row],[impressions]])</f>
        <v>5.5198550008238589E-3</v>
      </c>
      <c r="T8" s="27"/>
    </row>
    <row r="9" spans="1:20" ht="15.75">
      <c r="A9" s="23" t="s">
        <v>51</v>
      </c>
      <c r="B9" s="20" t="s">
        <v>48</v>
      </c>
      <c r="C9" s="20" t="s">
        <v>39</v>
      </c>
      <c r="D9" s="20" t="s">
        <v>46</v>
      </c>
      <c r="E9" s="20" t="s">
        <v>50</v>
      </c>
      <c r="F9" s="20">
        <v>39771</v>
      </c>
      <c r="G9" s="20">
        <v>602</v>
      </c>
      <c r="H9" s="20">
        <v>8</v>
      </c>
      <c r="I9" s="20">
        <v>8909.17</v>
      </c>
      <c r="J9" s="20">
        <v>6852.96</v>
      </c>
      <c r="K9" s="20">
        <v>259</v>
      </c>
      <c r="L9" s="20">
        <v>16</v>
      </c>
      <c r="M9" s="20">
        <v>14</v>
      </c>
      <c r="N9" s="29">
        <f>IF(Table2[[#This Row],[impressions]]=0,0,Table2[[#This Row],[spend_inr]]/Table2[[#This Row],[impressions]]*1000)</f>
        <v>224.01171708028463</v>
      </c>
      <c r="O9" s="31">
        <f>IF(Table2[[#This Row],[impressions]]=0,0,Table2[[#This Row],[clicks]]/Table2[[#This Row],[impressions]])</f>
        <v>1.5136657363405496E-2</v>
      </c>
      <c r="P9" s="32">
        <f>IF(Table2[[#This Row],[clicks]]=0,0,Table2[[#This Row],[spend_inr]]/Table2[[#This Row],[clicks]])</f>
        <v>14.799285714285714</v>
      </c>
      <c r="Q9" s="31">
        <f>IF(Table2[[#This Row],[clicks]]=0,0,Table2[[#This Row],[conversions]]/Table2[[#This Row],[clicks]])</f>
        <v>1.3289036544850499E-2</v>
      </c>
      <c r="R9" s="30">
        <f>IF(Table2[[#This Row],[spend_inr]]=0,0,(Table2[[#This Row],[revenue_inr]]-Table2[[#This Row],[spend_inr]])/Table2[[#This Row],[spend_inr]])</f>
        <v>-0.23079703272021973</v>
      </c>
      <c r="S9" s="31">
        <f>IF(Table2[[#This Row],[impressions]]=0,0,(Table2[[#This Row],[likes]]+Table2[[#This Row],[comments]]+Table2[[#This Row],[shares]])/Table2[[#This Row],[impressions]])</f>
        <v>7.2666012923989845E-3</v>
      </c>
      <c r="T9" s="27"/>
    </row>
    <row r="10" spans="1:20" ht="15.75">
      <c r="A10" s="23" t="s">
        <v>51</v>
      </c>
      <c r="B10" s="20" t="s">
        <v>44</v>
      </c>
      <c r="C10" s="20" t="s">
        <v>54</v>
      </c>
      <c r="D10" s="20" t="s">
        <v>46</v>
      </c>
      <c r="E10" s="20" t="s">
        <v>50</v>
      </c>
      <c r="F10" s="20">
        <v>70199</v>
      </c>
      <c r="G10" s="20">
        <v>671</v>
      </c>
      <c r="H10" s="20">
        <v>15</v>
      </c>
      <c r="I10" s="20">
        <v>8883.98</v>
      </c>
      <c r="J10" s="20">
        <v>12530.77</v>
      </c>
      <c r="K10" s="20">
        <v>205</v>
      </c>
      <c r="L10" s="20">
        <v>40</v>
      </c>
      <c r="M10" s="20">
        <v>20</v>
      </c>
      <c r="N10" s="29">
        <f>IF(Table2[[#This Row],[impressions]]=0,0,Table2[[#This Row],[spend_inr]]/Table2[[#This Row],[impressions]]*1000)</f>
        <v>126.55422441915127</v>
      </c>
      <c r="O10" s="31">
        <f>IF(Table2[[#This Row],[impressions]]=0,0,Table2[[#This Row],[clicks]]/Table2[[#This Row],[impressions]])</f>
        <v>9.5585407199532749E-3</v>
      </c>
      <c r="P10" s="32">
        <f>IF(Table2[[#This Row],[clicks]]=0,0,Table2[[#This Row],[spend_inr]]/Table2[[#This Row],[clicks]])</f>
        <v>13.239910581222055</v>
      </c>
      <c r="Q10" s="31">
        <f>IF(Table2[[#This Row],[clicks]]=0,0,Table2[[#This Row],[conversions]]/Table2[[#This Row],[clicks]])</f>
        <v>2.2354694485842028E-2</v>
      </c>
      <c r="R10" s="30">
        <f>IF(Table2[[#This Row],[spend_inr]]=0,0,(Table2[[#This Row],[revenue_inr]]-Table2[[#This Row],[spend_inr]])/Table2[[#This Row],[spend_inr]])</f>
        <v>0.41049056841640807</v>
      </c>
      <c r="S10" s="31">
        <f>IF(Table2[[#This Row],[impressions]]=0,0,(Table2[[#This Row],[likes]]+Table2[[#This Row],[comments]]+Table2[[#This Row],[shares]])/Table2[[#This Row],[impressions]])</f>
        <v>3.7749825496089687E-3</v>
      </c>
      <c r="T10" s="27"/>
    </row>
    <row r="11" spans="1:20" ht="15.75">
      <c r="A11" s="23" t="s">
        <v>51</v>
      </c>
      <c r="B11" s="20" t="s">
        <v>44</v>
      </c>
      <c r="C11" s="20" t="s">
        <v>54</v>
      </c>
      <c r="D11" s="20" t="s">
        <v>40</v>
      </c>
      <c r="E11" s="20" t="s">
        <v>50</v>
      </c>
      <c r="F11" s="20">
        <v>0</v>
      </c>
      <c r="G11" s="20">
        <v>403</v>
      </c>
      <c r="H11" s="20">
        <v>8</v>
      </c>
      <c r="I11" s="20">
        <v>8873.67</v>
      </c>
      <c r="J11" s="20">
        <v>5966.91</v>
      </c>
      <c r="K11" s="20">
        <v>188</v>
      </c>
      <c r="L11" s="20">
        <v>8</v>
      </c>
      <c r="M11" s="20">
        <v>5</v>
      </c>
      <c r="N11" s="29">
        <f>IF(Table2[[#This Row],[impressions]]=0,0,Table2[[#This Row],[spend_inr]]/Table2[[#This Row],[impressions]]*1000)</f>
        <v>0</v>
      </c>
      <c r="O11" s="31">
        <f>IF(Table2[[#This Row],[impressions]]=0,0,Table2[[#This Row],[clicks]]/Table2[[#This Row],[impressions]])</f>
        <v>0</v>
      </c>
      <c r="P11" s="32">
        <f>IF(Table2[[#This Row],[clicks]]=0,0,Table2[[#This Row],[spend_inr]]/Table2[[#This Row],[clicks]])</f>
        <v>22.019032258064517</v>
      </c>
      <c r="Q11" s="31">
        <f>IF(Table2[[#This Row],[clicks]]=0,0,Table2[[#This Row],[conversions]]/Table2[[#This Row],[clicks]])</f>
        <v>1.9851116625310174E-2</v>
      </c>
      <c r="R11" s="30">
        <f>IF(Table2[[#This Row],[spend_inr]]=0,0,(Table2[[#This Row],[revenue_inr]]-Table2[[#This Row],[spend_inr]])/Table2[[#This Row],[spend_inr]])</f>
        <v>-0.32757134308578079</v>
      </c>
      <c r="S11" s="31">
        <f>IF(Table2[[#This Row],[impressions]]=0,0,(Table2[[#This Row],[likes]]+Table2[[#This Row],[comments]]+Table2[[#This Row],[shares]])/Table2[[#This Row],[impressions]])</f>
        <v>0</v>
      </c>
      <c r="T11" s="27"/>
    </row>
    <row r="12" spans="1:20" ht="15.75">
      <c r="A12" s="23" t="s">
        <v>42</v>
      </c>
      <c r="B12" s="20" t="s">
        <v>44</v>
      </c>
      <c r="C12" s="20" t="s">
        <v>54</v>
      </c>
      <c r="D12" s="20" t="s">
        <v>40</v>
      </c>
      <c r="E12" s="20" t="s">
        <v>65</v>
      </c>
      <c r="F12" s="20">
        <v>54372</v>
      </c>
      <c r="G12" s="20">
        <v>302</v>
      </c>
      <c r="H12" s="20">
        <v>6</v>
      </c>
      <c r="I12" s="20">
        <v>8864.8799999999992</v>
      </c>
      <c r="J12" s="20">
        <v>0</v>
      </c>
      <c r="K12" s="20">
        <v>147</v>
      </c>
      <c r="L12" s="20">
        <v>11</v>
      </c>
      <c r="M12" s="20">
        <v>5</v>
      </c>
      <c r="N12" s="29">
        <f>IF(Table2[[#This Row],[impressions]]=0,0,Table2[[#This Row],[spend_inr]]/Table2[[#This Row],[impressions]]*1000)</f>
        <v>163.04127124255129</v>
      </c>
      <c r="O12" s="31">
        <f>IF(Table2[[#This Row],[impressions]]=0,0,Table2[[#This Row],[clicks]]/Table2[[#This Row],[impressions]])</f>
        <v>5.5543294342676377E-3</v>
      </c>
      <c r="P12" s="32">
        <f>IF(Table2[[#This Row],[clicks]]=0,0,Table2[[#This Row],[spend_inr]]/Table2[[#This Row],[clicks]])</f>
        <v>29.353907284768209</v>
      </c>
      <c r="Q12" s="31">
        <f>IF(Table2[[#This Row],[clicks]]=0,0,Table2[[#This Row],[conversions]]/Table2[[#This Row],[clicks]])</f>
        <v>1.9867549668874173E-2</v>
      </c>
      <c r="R12" s="30">
        <f>IF(Table2[[#This Row],[spend_inr]]=0,0,(Table2[[#This Row],[revenue_inr]]-Table2[[#This Row],[spend_inr]])/Table2[[#This Row],[spend_inr]])</f>
        <v>-1</v>
      </c>
      <c r="S12" s="31">
        <f>IF(Table2[[#This Row],[impressions]]=0,0,(Table2[[#This Row],[likes]]+Table2[[#This Row],[comments]]+Table2[[#This Row],[shares]])/Table2[[#This Row],[impressions]])</f>
        <v>2.9978665489590228E-3</v>
      </c>
      <c r="T12" s="27"/>
    </row>
    <row r="13" spans="1:20" ht="15.75">
      <c r="A13" s="23" t="s">
        <v>42</v>
      </c>
      <c r="B13" s="20" t="s">
        <v>44</v>
      </c>
      <c r="C13" s="20" t="s">
        <v>45</v>
      </c>
      <c r="D13" s="20" t="s">
        <v>40</v>
      </c>
      <c r="E13" s="20" t="s">
        <v>41</v>
      </c>
      <c r="F13" s="20">
        <v>34382</v>
      </c>
      <c r="G13" s="20">
        <v>164</v>
      </c>
      <c r="H13" s="20">
        <v>2</v>
      </c>
      <c r="I13" s="20">
        <v>8817.7999999999993</v>
      </c>
      <c r="J13" s="20">
        <v>1027.8699999999999</v>
      </c>
      <c r="K13" s="20">
        <v>57</v>
      </c>
      <c r="L13" s="20">
        <v>7</v>
      </c>
      <c r="M13" s="20">
        <v>2</v>
      </c>
      <c r="N13" s="29">
        <f>IF(Table2[[#This Row],[impressions]]=0,0,Table2[[#This Row],[spend_inr]]/Table2[[#This Row],[impressions]]*1000)</f>
        <v>256.46559246117152</v>
      </c>
      <c r="O13" s="31">
        <f>IF(Table2[[#This Row],[impressions]]=0,0,Table2[[#This Row],[clicks]]/Table2[[#This Row],[impressions]])</f>
        <v>4.769937758129254E-3</v>
      </c>
      <c r="P13" s="32">
        <f>IF(Table2[[#This Row],[clicks]]=0,0,Table2[[#This Row],[spend_inr]]/Table2[[#This Row],[clicks]])</f>
        <v>53.767073170731706</v>
      </c>
      <c r="Q13" s="31">
        <f>IF(Table2[[#This Row],[clicks]]=0,0,Table2[[#This Row],[conversions]]/Table2[[#This Row],[clicks]])</f>
        <v>1.2195121951219513E-2</v>
      </c>
      <c r="R13" s="30">
        <f>IF(Table2[[#This Row],[spend_inr]]=0,0,(Table2[[#This Row],[revenue_inr]]-Table2[[#This Row],[spend_inr]])/Table2[[#This Row],[spend_inr]])</f>
        <v>-0.88343237542244102</v>
      </c>
      <c r="S13" s="31">
        <f>IF(Table2[[#This Row],[impressions]]=0,0,(Table2[[#This Row],[likes]]+Table2[[#This Row],[comments]]+Table2[[#This Row],[shares]])/Table2[[#This Row],[impressions]])</f>
        <v>1.9196090977837241E-3</v>
      </c>
      <c r="T13" s="27"/>
    </row>
    <row r="14" spans="1:20" ht="15.75">
      <c r="A14" s="23" t="s">
        <v>52</v>
      </c>
      <c r="B14" s="20" t="s">
        <v>38</v>
      </c>
      <c r="C14" s="20" t="s">
        <v>45</v>
      </c>
      <c r="D14" s="20" t="s">
        <v>40</v>
      </c>
      <c r="E14" s="20" t="s">
        <v>56</v>
      </c>
      <c r="F14" s="20">
        <v>70390</v>
      </c>
      <c r="G14" s="20">
        <v>2104</v>
      </c>
      <c r="H14" s="20">
        <v>71</v>
      </c>
      <c r="I14" s="20">
        <v>8791.68</v>
      </c>
      <c r="J14" s="20">
        <v>90099.86</v>
      </c>
      <c r="K14" s="20">
        <v>0</v>
      </c>
      <c r="L14" s="20">
        <v>0</v>
      </c>
      <c r="M14" s="20">
        <v>0</v>
      </c>
      <c r="N14" s="29">
        <f>IF(Table2[[#This Row],[impressions]]=0,0,Table2[[#This Row],[spend_inr]]/Table2[[#This Row],[impressions]]*1000)</f>
        <v>124.89955959653361</v>
      </c>
      <c r="O14" s="31">
        <f>IF(Table2[[#This Row],[impressions]]=0,0,Table2[[#This Row],[clicks]]/Table2[[#This Row],[impressions]])</f>
        <v>2.9890609461571245E-2</v>
      </c>
      <c r="P14" s="32">
        <f>IF(Table2[[#This Row],[clicks]]=0,0,Table2[[#This Row],[spend_inr]]/Table2[[#This Row],[clicks]])</f>
        <v>4.1785551330798478</v>
      </c>
      <c r="Q14" s="31">
        <f>IF(Table2[[#This Row],[clicks]]=0,0,Table2[[#This Row],[conversions]]/Table2[[#This Row],[clicks]])</f>
        <v>3.374524714828897E-2</v>
      </c>
      <c r="R14" s="30">
        <f>IF(Table2[[#This Row],[spend_inr]]=0,0,(Table2[[#This Row],[revenue_inr]]-Table2[[#This Row],[spend_inr]])/Table2[[#This Row],[spend_inr]])</f>
        <v>9.2483097655965629</v>
      </c>
      <c r="S14" s="31">
        <f>IF(Table2[[#This Row],[impressions]]=0,0,(Table2[[#This Row],[likes]]+Table2[[#This Row],[comments]]+Table2[[#This Row],[shares]])/Table2[[#This Row],[impressions]])</f>
        <v>0</v>
      </c>
      <c r="T14" s="27"/>
    </row>
    <row r="15" spans="1:20" ht="15.75">
      <c r="A15" s="23" t="s">
        <v>42</v>
      </c>
      <c r="B15" s="20" t="s">
        <v>48</v>
      </c>
      <c r="C15" s="20" t="s">
        <v>45</v>
      </c>
      <c r="D15" s="20" t="s">
        <v>40</v>
      </c>
      <c r="E15" s="20" t="s">
        <v>41</v>
      </c>
      <c r="F15" s="20">
        <v>69691</v>
      </c>
      <c r="G15" s="20">
        <v>813</v>
      </c>
      <c r="H15" s="20">
        <v>9</v>
      </c>
      <c r="I15" s="20">
        <v>8782.92</v>
      </c>
      <c r="J15" s="20">
        <v>5820.71</v>
      </c>
      <c r="K15" s="20">
        <v>371</v>
      </c>
      <c r="L15" s="20">
        <v>21</v>
      </c>
      <c r="M15" s="20">
        <v>8</v>
      </c>
      <c r="N15" s="29">
        <f>IF(Table2[[#This Row],[impressions]]=0,0,Table2[[#This Row],[spend_inr]]/Table2[[#This Row],[impressions]]*1000)</f>
        <v>126.0266031481827</v>
      </c>
      <c r="O15" s="31">
        <f>IF(Table2[[#This Row],[impressions]]=0,0,Table2[[#This Row],[clicks]]/Table2[[#This Row],[impressions]])</f>
        <v>1.1665781808267925E-2</v>
      </c>
      <c r="P15" s="32">
        <f>IF(Table2[[#This Row],[clicks]]=0,0,Table2[[#This Row],[spend_inr]]/Table2[[#This Row],[clicks]])</f>
        <v>10.803099630996311</v>
      </c>
      <c r="Q15" s="31">
        <f>IF(Table2[[#This Row],[clicks]]=0,0,Table2[[#This Row],[conversions]]/Table2[[#This Row],[clicks]])</f>
        <v>1.107011070110701E-2</v>
      </c>
      <c r="R15" s="30">
        <f>IF(Table2[[#This Row],[spend_inr]]=0,0,(Table2[[#This Row],[revenue_inr]]-Table2[[#This Row],[spend_inr]])/Table2[[#This Row],[spend_inr]])</f>
        <v>-0.33726938193675909</v>
      </c>
      <c r="S15" s="31">
        <f>IF(Table2[[#This Row],[impressions]]=0,0,(Table2[[#This Row],[likes]]+Table2[[#This Row],[comments]]+Table2[[#This Row],[shares]])/Table2[[#This Row],[impressions]])</f>
        <v>5.7396220458882782E-3</v>
      </c>
      <c r="T15" s="27"/>
    </row>
    <row r="16" spans="1:20" ht="15.75">
      <c r="A16" s="23" t="s">
        <v>37</v>
      </c>
      <c r="B16" s="20" t="s">
        <v>44</v>
      </c>
      <c r="C16" s="20" t="s">
        <v>49</v>
      </c>
      <c r="D16" s="20" t="s">
        <v>40</v>
      </c>
      <c r="E16" s="20" t="s">
        <v>50</v>
      </c>
      <c r="F16" s="20">
        <v>12903</v>
      </c>
      <c r="G16" s="20">
        <v>0</v>
      </c>
      <c r="H16" s="20">
        <v>8</v>
      </c>
      <c r="I16" s="20">
        <v>8782.74</v>
      </c>
      <c r="J16" s="20">
        <v>9199.49</v>
      </c>
      <c r="K16" s="20">
        <v>121</v>
      </c>
      <c r="L16" s="20">
        <v>14</v>
      </c>
      <c r="M16" s="20">
        <v>4</v>
      </c>
      <c r="N16" s="29">
        <f>IF(Table2[[#This Row],[impressions]]=0,0,Table2[[#This Row],[spend_inr]]/Table2[[#This Row],[impressions]]*1000)</f>
        <v>680.67426179958147</v>
      </c>
      <c r="O16" s="31">
        <f>IF(Table2[[#This Row],[impressions]]=0,0,Table2[[#This Row],[clicks]]/Table2[[#This Row],[impressions]])</f>
        <v>0</v>
      </c>
      <c r="P16" s="32">
        <f>IF(Table2[[#This Row],[clicks]]=0,0,Table2[[#This Row],[spend_inr]]/Table2[[#This Row],[clicks]])</f>
        <v>0</v>
      </c>
      <c r="Q16" s="31">
        <f>IF(Table2[[#This Row],[clicks]]=0,0,Table2[[#This Row],[conversions]]/Table2[[#This Row],[clicks]])</f>
        <v>0</v>
      </c>
      <c r="R16" s="30">
        <f>IF(Table2[[#This Row],[spend_inr]]=0,0,(Table2[[#This Row],[revenue_inr]]-Table2[[#This Row],[spend_inr]])/Table2[[#This Row],[spend_inr]])</f>
        <v>4.745102325697903E-2</v>
      </c>
      <c r="S16" s="31">
        <f>IF(Table2[[#This Row],[impressions]]=0,0,(Table2[[#This Row],[likes]]+Table2[[#This Row],[comments]]+Table2[[#This Row],[shares]])/Table2[[#This Row],[impressions]])</f>
        <v>1.0772688522049136E-2</v>
      </c>
      <c r="T16" s="27"/>
    </row>
    <row r="17" spans="1:20" ht="15.75">
      <c r="A17" s="23" t="s">
        <v>42</v>
      </c>
      <c r="B17" s="20" t="s">
        <v>48</v>
      </c>
      <c r="C17" s="20" t="s">
        <v>54</v>
      </c>
      <c r="D17" s="20" t="s">
        <v>40</v>
      </c>
      <c r="E17" s="20" t="s">
        <v>41</v>
      </c>
      <c r="F17" s="20">
        <v>49157</v>
      </c>
      <c r="G17" s="20">
        <v>407</v>
      </c>
      <c r="H17" s="20">
        <v>11</v>
      </c>
      <c r="I17" s="20">
        <v>8768.82</v>
      </c>
      <c r="J17" s="20">
        <v>12631.07</v>
      </c>
      <c r="K17" s="20">
        <v>147</v>
      </c>
      <c r="L17" s="20">
        <v>21</v>
      </c>
      <c r="M17" s="20">
        <v>13</v>
      </c>
      <c r="N17" s="29">
        <f>IF(Table2[[#This Row],[impressions]]=0,0,Table2[[#This Row],[spend_inr]]/Table2[[#This Row],[impressions]]*1000)</f>
        <v>178.38395345525561</v>
      </c>
      <c r="O17" s="31">
        <f>IF(Table2[[#This Row],[impressions]]=0,0,Table2[[#This Row],[clicks]]/Table2[[#This Row],[impressions]])</f>
        <v>8.2795939540655453E-3</v>
      </c>
      <c r="P17" s="32">
        <f>IF(Table2[[#This Row],[clicks]]=0,0,Table2[[#This Row],[spend_inr]]/Table2[[#This Row],[clicks]])</f>
        <v>21.545012285012284</v>
      </c>
      <c r="Q17" s="31">
        <f>IF(Table2[[#This Row],[clicks]]=0,0,Table2[[#This Row],[conversions]]/Table2[[#This Row],[clicks]])</f>
        <v>2.7027027027027029E-2</v>
      </c>
      <c r="R17" s="30">
        <f>IF(Table2[[#This Row],[spend_inr]]=0,0,(Table2[[#This Row],[revenue_inr]]-Table2[[#This Row],[spend_inr]])/Table2[[#This Row],[spend_inr]])</f>
        <v>0.44045264927322036</v>
      </c>
      <c r="S17" s="31">
        <f>IF(Table2[[#This Row],[impressions]]=0,0,(Table2[[#This Row],[likes]]+Table2[[#This Row],[comments]]+Table2[[#This Row],[shares]])/Table2[[#This Row],[impressions]])</f>
        <v>3.6820798665500335E-3</v>
      </c>
      <c r="T17" s="27"/>
    </row>
    <row r="18" spans="1:20" ht="15.75">
      <c r="A18" s="23" t="s">
        <v>52</v>
      </c>
      <c r="B18" s="20" t="s">
        <v>43</v>
      </c>
      <c r="C18" s="20" t="s">
        <v>45</v>
      </c>
      <c r="D18" s="20" t="s">
        <v>40</v>
      </c>
      <c r="E18" s="20" t="s">
        <v>53</v>
      </c>
      <c r="F18" s="20">
        <v>17805</v>
      </c>
      <c r="G18" s="20">
        <v>274</v>
      </c>
      <c r="H18" s="20">
        <v>10</v>
      </c>
      <c r="I18" s="20">
        <v>8729.1</v>
      </c>
      <c r="J18" s="20">
        <v>7127.27</v>
      </c>
      <c r="K18" s="20">
        <v>0</v>
      </c>
      <c r="L18" s="20">
        <v>0</v>
      </c>
      <c r="M18" s="20">
        <v>0</v>
      </c>
      <c r="N18" s="29">
        <f>IF(Table2[[#This Row],[impressions]]=0,0,Table2[[#This Row],[spend_inr]]/Table2[[#This Row],[impressions]]*1000)</f>
        <v>490.26116259477675</v>
      </c>
      <c r="O18" s="31">
        <f>IF(Table2[[#This Row],[impressions]]=0,0,Table2[[#This Row],[clicks]]/Table2[[#This Row],[impressions]])</f>
        <v>1.5388935692221287E-2</v>
      </c>
      <c r="P18" s="32">
        <f>IF(Table2[[#This Row],[clicks]]=0,0,Table2[[#This Row],[spend_inr]]/Table2[[#This Row],[clicks]])</f>
        <v>31.858029197080292</v>
      </c>
      <c r="Q18" s="31">
        <f>IF(Table2[[#This Row],[clicks]]=0,0,Table2[[#This Row],[conversions]]/Table2[[#This Row],[clicks]])</f>
        <v>3.6496350364963501E-2</v>
      </c>
      <c r="R18" s="30">
        <f>IF(Table2[[#This Row],[spend_inr]]=0,0,(Table2[[#This Row],[revenue_inr]]-Table2[[#This Row],[spend_inr]])/Table2[[#This Row],[spend_inr]])</f>
        <v>-0.18350459955780091</v>
      </c>
      <c r="S18" s="31">
        <f>IF(Table2[[#This Row],[impressions]]=0,0,(Table2[[#This Row],[likes]]+Table2[[#This Row],[comments]]+Table2[[#This Row],[shares]])/Table2[[#This Row],[impressions]])</f>
        <v>0</v>
      </c>
      <c r="T18" s="27"/>
    </row>
    <row r="19" spans="1:20" ht="15.75">
      <c r="A19" s="23" t="s">
        <v>52</v>
      </c>
      <c r="B19" s="20" t="s">
        <v>38</v>
      </c>
      <c r="C19" s="20" t="s">
        <v>45</v>
      </c>
      <c r="D19" s="20" t="s">
        <v>46</v>
      </c>
      <c r="E19" s="20" t="s">
        <v>56</v>
      </c>
      <c r="F19" s="20">
        <v>17604</v>
      </c>
      <c r="G19" s="20">
        <v>132</v>
      </c>
      <c r="H19" s="20">
        <v>4</v>
      </c>
      <c r="I19" s="20">
        <v>8725.19</v>
      </c>
      <c r="J19" s="20">
        <v>3618.28</v>
      </c>
      <c r="K19" s="20">
        <v>0</v>
      </c>
      <c r="L19" s="20">
        <v>0</v>
      </c>
      <c r="M19" s="20">
        <v>0</v>
      </c>
      <c r="N19" s="29">
        <f>IF(Table2[[#This Row],[impressions]]=0,0,Table2[[#This Row],[spend_inr]]/Table2[[#This Row],[impressions]]*1000)</f>
        <v>495.63678709384237</v>
      </c>
      <c r="O19" s="31">
        <f>IF(Table2[[#This Row],[impressions]]=0,0,Table2[[#This Row],[clicks]]/Table2[[#This Row],[impressions]])</f>
        <v>7.498295841854124E-3</v>
      </c>
      <c r="P19" s="32">
        <f>IF(Table2[[#This Row],[clicks]]=0,0,Table2[[#This Row],[spend_inr]]/Table2[[#This Row],[clicks]])</f>
        <v>66.099924242424251</v>
      </c>
      <c r="Q19" s="31">
        <f>IF(Table2[[#This Row],[clicks]]=0,0,Table2[[#This Row],[conversions]]/Table2[[#This Row],[clicks]])</f>
        <v>3.0303030303030304E-2</v>
      </c>
      <c r="R19" s="30">
        <f>IF(Table2[[#This Row],[spend_inr]]=0,0,(Table2[[#This Row],[revenue_inr]]-Table2[[#This Row],[spend_inr]])/Table2[[#This Row],[spend_inr]])</f>
        <v>-0.58530645177927354</v>
      </c>
      <c r="S19" s="31">
        <f>IF(Table2[[#This Row],[impressions]]=0,0,(Table2[[#This Row],[likes]]+Table2[[#This Row],[comments]]+Table2[[#This Row],[shares]])/Table2[[#This Row],[impressions]])</f>
        <v>0</v>
      </c>
      <c r="T19" s="27"/>
    </row>
    <row r="20" spans="1:20" ht="15.75">
      <c r="A20" s="23" t="s">
        <v>37</v>
      </c>
      <c r="B20" s="20" t="s">
        <v>44</v>
      </c>
      <c r="C20" s="20" t="s">
        <v>45</v>
      </c>
      <c r="D20" s="20" t="s">
        <v>40</v>
      </c>
      <c r="E20" s="20" t="s">
        <v>41</v>
      </c>
      <c r="F20" s="20">
        <v>23469</v>
      </c>
      <c r="G20" s="20">
        <v>400</v>
      </c>
      <c r="H20" s="20">
        <v>11</v>
      </c>
      <c r="I20" s="20">
        <v>8722.7099999999991</v>
      </c>
      <c r="J20" s="20">
        <v>12036.82</v>
      </c>
      <c r="K20" s="20">
        <v>174</v>
      </c>
      <c r="L20" s="20">
        <v>19</v>
      </c>
      <c r="M20" s="20">
        <v>6</v>
      </c>
      <c r="N20" s="29">
        <f>IF(Table2[[#This Row],[impressions]]=0,0,Table2[[#This Row],[spend_inr]]/Table2[[#This Row],[impressions]]*1000)</f>
        <v>371.66943627764283</v>
      </c>
      <c r="O20" s="31">
        <f>IF(Table2[[#This Row],[impressions]]=0,0,Table2[[#This Row],[clicks]]/Table2[[#This Row],[impressions]])</f>
        <v>1.7043759853423664E-2</v>
      </c>
      <c r="P20" s="32">
        <f>IF(Table2[[#This Row],[clicks]]=0,0,Table2[[#This Row],[spend_inr]]/Table2[[#This Row],[clicks]])</f>
        <v>21.806774999999998</v>
      </c>
      <c r="Q20" s="31">
        <f>IF(Table2[[#This Row],[clicks]]=0,0,Table2[[#This Row],[conversions]]/Table2[[#This Row],[clicks]])</f>
        <v>2.75E-2</v>
      </c>
      <c r="R20" s="30">
        <f>IF(Table2[[#This Row],[spend_inr]]=0,0,(Table2[[#This Row],[revenue_inr]]-Table2[[#This Row],[spend_inr]])/Table2[[#This Row],[spend_inr]])</f>
        <v>0.37994040842811477</v>
      </c>
      <c r="S20" s="31">
        <f>IF(Table2[[#This Row],[impressions]]=0,0,(Table2[[#This Row],[likes]]+Table2[[#This Row],[comments]]+Table2[[#This Row],[shares]])/Table2[[#This Row],[impressions]])</f>
        <v>8.4792705270782739E-3</v>
      </c>
      <c r="T20" s="27"/>
    </row>
    <row r="21" spans="1:20" ht="15.75">
      <c r="A21" s="23" t="s">
        <v>51</v>
      </c>
      <c r="B21" s="20" t="s">
        <v>48</v>
      </c>
      <c r="C21" s="20" t="s">
        <v>54</v>
      </c>
      <c r="D21" s="20" t="s">
        <v>40</v>
      </c>
      <c r="E21" s="20" t="s">
        <v>50</v>
      </c>
      <c r="F21" s="20">
        <v>41496</v>
      </c>
      <c r="G21" s="20">
        <v>361</v>
      </c>
      <c r="H21" s="20">
        <v>4</v>
      </c>
      <c r="I21" s="20">
        <v>8697.92</v>
      </c>
      <c r="J21" s="20">
        <v>4457.9399999999996</v>
      </c>
      <c r="K21" s="20">
        <v>114</v>
      </c>
      <c r="L21" s="20">
        <v>7</v>
      </c>
      <c r="M21" s="20">
        <v>14</v>
      </c>
      <c r="N21" s="29">
        <f>IF(Table2[[#This Row],[impressions]]=0,0,Table2[[#This Row],[spend_inr]]/Table2[[#This Row],[impressions]]*1000)</f>
        <v>209.60863697705804</v>
      </c>
      <c r="O21" s="31">
        <f>IF(Table2[[#This Row],[impressions]]=0,0,Table2[[#This Row],[clicks]]/Table2[[#This Row],[impressions]])</f>
        <v>8.6996336996337E-3</v>
      </c>
      <c r="P21" s="32">
        <f>IF(Table2[[#This Row],[clicks]]=0,0,Table2[[#This Row],[spend_inr]]/Table2[[#This Row],[clicks]])</f>
        <v>24.093961218836565</v>
      </c>
      <c r="Q21" s="31">
        <f>IF(Table2[[#This Row],[clicks]]=0,0,Table2[[#This Row],[conversions]]/Table2[[#This Row],[clicks]])</f>
        <v>1.1080332409972299E-2</v>
      </c>
      <c r="R21" s="30">
        <f>IF(Table2[[#This Row],[spend_inr]]=0,0,(Table2[[#This Row],[revenue_inr]]-Table2[[#This Row],[spend_inr]])/Table2[[#This Row],[spend_inr]])</f>
        <v>-0.48747056767595015</v>
      </c>
      <c r="S21" s="31">
        <f>IF(Table2[[#This Row],[impressions]]=0,0,(Table2[[#This Row],[likes]]+Table2[[#This Row],[comments]]+Table2[[#This Row],[shares]])/Table2[[#This Row],[impressions]])</f>
        <v>3.2533256217466742E-3</v>
      </c>
      <c r="T21" s="27"/>
    </row>
    <row r="22" spans="1:20" ht="15.75">
      <c r="A22" s="23" t="s">
        <v>52</v>
      </c>
      <c r="B22" s="20" t="s">
        <v>48</v>
      </c>
      <c r="C22" s="20" t="s">
        <v>49</v>
      </c>
      <c r="D22" s="20" t="s">
        <v>46</v>
      </c>
      <c r="E22" s="20" t="s">
        <v>56</v>
      </c>
      <c r="F22" s="20">
        <v>28651</v>
      </c>
      <c r="G22" s="20">
        <v>0</v>
      </c>
      <c r="H22" s="20">
        <v>26</v>
      </c>
      <c r="I22" s="20">
        <v>8638.5499999999993</v>
      </c>
      <c r="J22" s="20">
        <v>34593.17</v>
      </c>
      <c r="K22" s="20">
        <v>0</v>
      </c>
      <c r="L22" s="20">
        <v>0</v>
      </c>
      <c r="M22" s="20">
        <v>0</v>
      </c>
      <c r="N22" s="29">
        <f>IF(Table2[[#This Row],[impressions]]=0,0,Table2[[#This Row],[spend_inr]]/Table2[[#This Row],[impressions]]*1000)</f>
        <v>301.50954591462778</v>
      </c>
      <c r="O22" s="31">
        <f>IF(Table2[[#This Row],[impressions]]=0,0,Table2[[#This Row],[clicks]]/Table2[[#This Row],[impressions]])</f>
        <v>0</v>
      </c>
      <c r="P22" s="32">
        <f>IF(Table2[[#This Row],[clicks]]=0,0,Table2[[#This Row],[spend_inr]]/Table2[[#This Row],[clicks]])</f>
        <v>0</v>
      </c>
      <c r="Q22" s="31">
        <f>IF(Table2[[#This Row],[clicks]]=0,0,Table2[[#This Row],[conversions]]/Table2[[#This Row],[clicks]])</f>
        <v>0</v>
      </c>
      <c r="R22" s="30">
        <f>IF(Table2[[#This Row],[spend_inr]]=0,0,(Table2[[#This Row],[revenue_inr]]-Table2[[#This Row],[spend_inr]])/Table2[[#This Row],[spend_inr]])</f>
        <v>3.0045111737502244</v>
      </c>
      <c r="S22" s="31">
        <f>IF(Table2[[#This Row],[impressions]]=0,0,(Table2[[#This Row],[likes]]+Table2[[#This Row],[comments]]+Table2[[#This Row],[shares]])/Table2[[#This Row],[impressions]])</f>
        <v>0</v>
      </c>
      <c r="T22" s="27"/>
    </row>
    <row r="23" spans="1:20" ht="15.75">
      <c r="A23" s="23" t="s">
        <v>52</v>
      </c>
      <c r="B23" s="20" t="s">
        <v>43</v>
      </c>
      <c r="C23" s="20" t="s">
        <v>49</v>
      </c>
      <c r="D23" s="20" t="s">
        <v>46</v>
      </c>
      <c r="E23" s="20" t="s">
        <v>56</v>
      </c>
      <c r="F23" s="20">
        <v>65115</v>
      </c>
      <c r="G23" s="20">
        <v>2493</v>
      </c>
      <c r="H23" s="20">
        <v>86</v>
      </c>
      <c r="I23" s="20">
        <v>8634</v>
      </c>
      <c r="J23" s="20">
        <v>115602.86</v>
      </c>
      <c r="K23" s="20">
        <v>0</v>
      </c>
      <c r="L23" s="20">
        <v>0</v>
      </c>
      <c r="M23" s="20">
        <v>0</v>
      </c>
      <c r="N23" s="29">
        <f>IF(Table2[[#This Row],[impressions]]=0,0,Table2[[#This Row],[spend_inr]]/Table2[[#This Row],[impressions]]*1000)</f>
        <v>132.5961759963142</v>
      </c>
      <c r="O23" s="31">
        <f>IF(Table2[[#This Row],[impressions]]=0,0,Table2[[#This Row],[clicks]]/Table2[[#This Row],[impressions]])</f>
        <v>3.8286109191430544E-2</v>
      </c>
      <c r="P23" s="32">
        <f>IF(Table2[[#This Row],[clicks]]=0,0,Table2[[#This Row],[spend_inr]]/Table2[[#This Row],[clicks]])</f>
        <v>3.4632972322503011</v>
      </c>
      <c r="Q23" s="31">
        <f>IF(Table2[[#This Row],[clicks]]=0,0,Table2[[#This Row],[conversions]]/Table2[[#This Row],[clicks]])</f>
        <v>3.4496590453269152E-2</v>
      </c>
      <c r="R23" s="30">
        <f>IF(Table2[[#This Row],[spend_inr]]=0,0,(Table2[[#This Row],[revenue_inr]]-Table2[[#This Row],[spend_inr]])/Table2[[#This Row],[spend_inr]])</f>
        <v>12.389258744498495</v>
      </c>
      <c r="S23" s="31">
        <f>IF(Table2[[#This Row],[impressions]]=0,0,(Table2[[#This Row],[likes]]+Table2[[#This Row],[comments]]+Table2[[#This Row],[shares]])/Table2[[#This Row],[impressions]])</f>
        <v>0</v>
      </c>
      <c r="T23" s="27"/>
    </row>
    <row r="24" spans="1:20" ht="15.75">
      <c r="A24" s="23" t="s">
        <v>51</v>
      </c>
      <c r="B24" s="20" t="s">
        <v>48</v>
      </c>
      <c r="C24" s="20" t="s">
        <v>54</v>
      </c>
      <c r="D24" s="20" t="s">
        <v>46</v>
      </c>
      <c r="E24" s="20" t="s">
        <v>65</v>
      </c>
      <c r="F24" s="20">
        <v>0</v>
      </c>
      <c r="G24" s="20">
        <v>409</v>
      </c>
      <c r="H24" s="20">
        <v>8</v>
      </c>
      <c r="I24" s="20">
        <v>8609.82</v>
      </c>
      <c r="J24" s="20">
        <v>10608.98</v>
      </c>
      <c r="K24" s="20">
        <v>143</v>
      </c>
      <c r="L24" s="20">
        <v>17</v>
      </c>
      <c r="M24" s="20">
        <v>15</v>
      </c>
      <c r="N24" s="29">
        <f>IF(Table2[[#This Row],[impressions]]=0,0,Table2[[#This Row],[spend_inr]]/Table2[[#This Row],[impressions]]*1000)</f>
        <v>0</v>
      </c>
      <c r="O24" s="31">
        <f>IF(Table2[[#This Row],[impressions]]=0,0,Table2[[#This Row],[clicks]]/Table2[[#This Row],[impressions]])</f>
        <v>0</v>
      </c>
      <c r="P24" s="32">
        <f>IF(Table2[[#This Row],[clicks]]=0,0,Table2[[#This Row],[spend_inr]]/Table2[[#This Row],[clicks]])</f>
        <v>21.050904645476773</v>
      </c>
      <c r="Q24" s="31">
        <f>IF(Table2[[#This Row],[clicks]]=0,0,Table2[[#This Row],[conversions]]/Table2[[#This Row],[clicks]])</f>
        <v>1.9559902200488997E-2</v>
      </c>
      <c r="R24" s="30">
        <f>IF(Table2[[#This Row],[spend_inr]]=0,0,(Table2[[#This Row],[revenue_inr]]-Table2[[#This Row],[spend_inr]])/Table2[[#This Row],[spend_inr]])</f>
        <v>0.23219533044825558</v>
      </c>
      <c r="S24" s="31">
        <f>IF(Table2[[#This Row],[impressions]]=0,0,(Table2[[#This Row],[likes]]+Table2[[#This Row],[comments]]+Table2[[#This Row],[shares]])/Table2[[#This Row],[impressions]])</f>
        <v>0</v>
      </c>
      <c r="T24" s="27"/>
    </row>
    <row r="25" spans="1:20" ht="15.75">
      <c r="A25" s="23" t="s">
        <v>42</v>
      </c>
      <c r="B25" s="20" t="s">
        <v>43</v>
      </c>
      <c r="C25" s="20" t="s">
        <v>49</v>
      </c>
      <c r="D25" s="20" t="s">
        <v>46</v>
      </c>
      <c r="E25" s="20" t="s">
        <v>50</v>
      </c>
      <c r="F25" s="20">
        <v>20005</v>
      </c>
      <c r="G25" s="20">
        <v>176</v>
      </c>
      <c r="H25" s="20">
        <v>4</v>
      </c>
      <c r="I25" s="20">
        <v>8592.4599999999991</v>
      </c>
      <c r="J25" s="20">
        <v>3256.08</v>
      </c>
      <c r="K25" s="20">
        <v>61</v>
      </c>
      <c r="L25" s="20">
        <v>6</v>
      </c>
      <c r="M25" s="20">
        <v>2</v>
      </c>
      <c r="N25" s="29">
        <f>IF(Table2[[#This Row],[impressions]]=0,0,Table2[[#This Row],[spend_inr]]/Table2[[#This Row],[impressions]]*1000)</f>
        <v>429.51562109472627</v>
      </c>
      <c r="O25" s="31">
        <f>IF(Table2[[#This Row],[impressions]]=0,0,Table2[[#This Row],[clicks]]/Table2[[#This Row],[impressions]])</f>
        <v>8.7978005498625337E-3</v>
      </c>
      <c r="P25" s="32">
        <f>IF(Table2[[#This Row],[clicks]]=0,0,Table2[[#This Row],[spend_inr]]/Table2[[#This Row],[clicks]])</f>
        <v>48.820795454545447</v>
      </c>
      <c r="Q25" s="31">
        <f>IF(Table2[[#This Row],[clicks]]=0,0,Table2[[#This Row],[conversions]]/Table2[[#This Row],[clicks]])</f>
        <v>2.2727272727272728E-2</v>
      </c>
      <c r="R25" s="30">
        <f>IF(Table2[[#This Row],[spend_inr]]=0,0,(Table2[[#This Row],[revenue_inr]]-Table2[[#This Row],[spend_inr]])/Table2[[#This Row],[spend_inr]])</f>
        <v>-0.62105380764065232</v>
      </c>
      <c r="S25" s="31">
        <f>IF(Table2[[#This Row],[impressions]]=0,0,(Table2[[#This Row],[likes]]+Table2[[#This Row],[comments]]+Table2[[#This Row],[shares]])/Table2[[#This Row],[impressions]])</f>
        <v>3.4491377155711073E-3</v>
      </c>
      <c r="T25" s="27"/>
    </row>
    <row r="26" spans="1:20" ht="15.75">
      <c r="A26" s="23" t="s">
        <v>37</v>
      </c>
      <c r="B26" s="20" t="s">
        <v>38</v>
      </c>
      <c r="C26" s="20" t="s">
        <v>49</v>
      </c>
      <c r="D26" s="20" t="s">
        <v>40</v>
      </c>
      <c r="E26" s="20" t="s">
        <v>47</v>
      </c>
      <c r="F26" s="20">
        <v>49174</v>
      </c>
      <c r="G26" s="20">
        <v>817</v>
      </c>
      <c r="H26" s="20">
        <v>21</v>
      </c>
      <c r="I26" s="20">
        <v>8578.27</v>
      </c>
      <c r="J26" s="20">
        <v>30369.63</v>
      </c>
      <c r="K26" s="20">
        <v>343</v>
      </c>
      <c r="L26" s="20">
        <v>46</v>
      </c>
      <c r="M26" s="20">
        <v>19</v>
      </c>
      <c r="N26" s="29">
        <f>IF(Table2[[#This Row],[impressions]]=0,0,Table2[[#This Row],[spend_inr]]/Table2[[#This Row],[impressions]]*1000)</f>
        <v>174.44726888192949</v>
      </c>
      <c r="O26" s="31">
        <f>IF(Table2[[#This Row],[impressions]]=0,0,Table2[[#This Row],[clicks]]/Table2[[#This Row],[impressions]])</f>
        <v>1.6614471061943303E-2</v>
      </c>
      <c r="P26" s="32">
        <f>IF(Table2[[#This Row],[clicks]]=0,0,Table2[[#This Row],[spend_inr]]/Table2[[#This Row],[clicks]])</f>
        <v>10.499718482252142</v>
      </c>
      <c r="Q26" s="31">
        <f>IF(Table2[[#This Row],[clicks]]=0,0,Table2[[#This Row],[conversions]]/Table2[[#This Row],[clicks]])</f>
        <v>2.5703794369645042E-2</v>
      </c>
      <c r="R26" s="30">
        <f>IF(Table2[[#This Row],[spend_inr]]=0,0,(Table2[[#This Row],[revenue_inr]]-Table2[[#This Row],[spend_inr]])/Table2[[#This Row],[spend_inr]])</f>
        <v>2.5402977523440042</v>
      </c>
      <c r="S26" s="31">
        <f>IF(Table2[[#This Row],[impressions]]=0,0,(Table2[[#This Row],[likes]]+Table2[[#This Row],[comments]]+Table2[[#This Row],[shares]])/Table2[[#This Row],[impressions]])</f>
        <v>8.2970675560255416E-3</v>
      </c>
      <c r="T26" s="27"/>
    </row>
    <row r="27" spans="1:20" ht="15.75">
      <c r="A27" s="23" t="s">
        <v>52</v>
      </c>
      <c r="B27" s="20" t="s">
        <v>43</v>
      </c>
      <c r="C27" s="20" t="s">
        <v>39</v>
      </c>
      <c r="D27" s="20" t="s">
        <v>40</v>
      </c>
      <c r="E27" s="20" t="s">
        <v>56</v>
      </c>
      <c r="F27" s="20">
        <v>27460</v>
      </c>
      <c r="G27" s="20">
        <v>775</v>
      </c>
      <c r="H27" s="20">
        <v>28</v>
      </c>
      <c r="I27" s="20">
        <v>8568.4</v>
      </c>
      <c r="J27" s="20">
        <v>40088.120000000003</v>
      </c>
      <c r="K27" s="20">
        <v>0</v>
      </c>
      <c r="L27" s="20">
        <v>0</v>
      </c>
      <c r="M27" s="20">
        <v>0</v>
      </c>
      <c r="N27" s="29">
        <f>IF(Table2[[#This Row],[impressions]]=0,0,Table2[[#This Row],[spend_inr]]/Table2[[#This Row],[impressions]]*1000)</f>
        <v>312.0320466132556</v>
      </c>
      <c r="O27" s="31">
        <f>IF(Table2[[#This Row],[impressions]]=0,0,Table2[[#This Row],[clicks]]/Table2[[#This Row],[impressions]])</f>
        <v>2.8222869628550619E-2</v>
      </c>
      <c r="P27" s="32">
        <f>IF(Table2[[#This Row],[clicks]]=0,0,Table2[[#This Row],[spend_inr]]/Table2[[#This Row],[clicks]])</f>
        <v>11.055999999999999</v>
      </c>
      <c r="Q27" s="31">
        <f>IF(Table2[[#This Row],[clicks]]=0,0,Table2[[#This Row],[conversions]]/Table2[[#This Row],[clicks]])</f>
        <v>3.612903225806452E-2</v>
      </c>
      <c r="R27" s="30">
        <f>IF(Table2[[#This Row],[spend_inr]]=0,0,(Table2[[#This Row],[revenue_inr]]-Table2[[#This Row],[spend_inr]])/Table2[[#This Row],[spend_inr]])</f>
        <v>3.6786004388217175</v>
      </c>
      <c r="S27" s="31">
        <f>IF(Table2[[#This Row],[impressions]]=0,0,(Table2[[#This Row],[likes]]+Table2[[#This Row],[comments]]+Table2[[#This Row],[shares]])/Table2[[#This Row],[impressions]])</f>
        <v>0</v>
      </c>
      <c r="T27" s="27"/>
    </row>
    <row r="28" spans="1:20" ht="15.75">
      <c r="A28" s="23" t="s">
        <v>51</v>
      </c>
      <c r="B28" s="20" t="s">
        <v>38</v>
      </c>
      <c r="C28" s="20" t="s">
        <v>55</v>
      </c>
      <c r="D28" s="20" t="s">
        <v>40</v>
      </c>
      <c r="E28" s="20" t="s">
        <v>50</v>
      </c>
      <c r="F28" s="20">
        <v>55264</v>
      </c>
      <c r="G28" s="20">
        <v>0</v>
      </c>
      <c r="H28" s="20">
        <v>14</v>
      </c>
      <c r="I28" s="20">
        <v>8549.69</v>
      </c>
      <c r="J28" s="20">
        <v>10050.719999999999</v>
      </c>
      <c r="K28" s="20">
        <v>351</v>
      </c>
      <c r="L28" s="20">
        <v>14</v>
      </c>
      <c r="M28" s="20">
        <v>12</v>
      </c>
      <c r="N28" s="29">
        <f>IF(Table2[[#This Row],[impressions]]=0,0,Table2[[#This Row],[spend_inr]]/Table2[[#This Row],[impressions]]*1000)</f>
        <v>154.70631876085699</v>
      </c>
      <c r="O28" s="31">
        <f>IF(Table2[[#This Row],[impressions]]=0,0,Table2[[#This Row],[clicks]]/Table2[[#This Row],[impressions]])</f>
        <v>0</v>
      </c>
      <c r="P28" s="32">
        <f>IF(Table2[[#This Row],[clicks]]=0,0,Table2[[#This Row],[spend_inr]]/Table2[[#This Row],[clicks]])</f>
        <v>0</v>
      </c>
      <c r="Q28" s="31">
        <f>IF(Table2[[#This Row],[clicks]]=0,0,Table2[[#This Row],[conversions]]/Table2[[#This Row],[clicks]])</f>
        <v>0</v>
      </c>
      <c r="R28" s="30">
        <f>IF(Table2[[#This Row],[spend_inr]]=0,0,(Table2[[#This Row],[revenue_inr]]-Table2[[#This Row],[spend_inr]])/Table2[[#This Row],[spend_inr]])</f>
        <v>0.17556542985769061</v>
      </c>
      <c r="S28" s="31">
        <f>IF(Table2[[#This Row],[impressions]]=0,0,(Table2[[#This Row],[likes]]+Table2[[#This Row],[comments]]+Table2[[#This Row],[shares]])/Table2[[#This Row],[impressions]])</f>
        <v>6.8218008106543139E-3</v>
      </c>
      <c r="T28" s="27"/>
    </row>
    <row r="29" spans="1:20" ht="15.75">
      <c r="A29" s="23" t="s">
        <v>42</v>
      </c>
      <c r="B29" s="20" t="s">
        <v>48</v>
      </c>
      <c r="C29" s="20" t="s">
        <v>45</v>
      </c>
      <c r="D29" s="20" t="s">
        <v>46</v>
      </c>
      <c r="E29" s="20" t="s">
        <v>47</v>
      </c>
      <c r="F29" s="20">
        <v>51119</v>
      </c>
      <c r="G29" s="20">
        <v>480</v>
      </c>
      <c r="H29" s="20">
        <v>12</v>
      </c>
      <c r="I29" s="20">
        <v>8523.48</v>
      </c>
      <c r="J29" s="20">
        <v>16072.57</v>
      </c>
      <c r="K29" s="20">
        <v>173</v>
      </c>
      <c r="L29" s="20">
        <v>19</v>
      </c>
      <c r="M29" s="20">
        <v>13</v>
      </c>
      <c r="N29" s="29">
        <f>IF(Table2[[#This Row],[impressions]]=0,0,Table2[[#This Row],[spend_inr]]/Table2[[#This Row],[impressions]]*1000)</f>
        <v>166.73800348207124</v>
      </c>
      <c r="O29" s="31">
        <f>IF(Table2[[#This Row],[impressions]]=0,0,Table2[[#This Row],[clicks]]/Table2[[#This Row],[impressions]])</f>
        <v>9.3898550441127559E-3</v>
      </c>
      <c r="P29" s="32">
        <f>IF(Table2[[#This Row],[clicks]]=0,0,Table2[[#This Row],[spend_inr]]/Table2[[#This Row],[clicks]])</f>
        <v>17.757249999999999</v>
      </c>
      <c r="Q29" s="31">
        <f>IF(Table2[[#This Row],[clicks]]=0,0,Table2[[#This Row],[conversions]]/Table2[[#This Row],[clicks]])</f>
        <v>2.5000000000000001E-2</v>
      </c>
      <c r="R29" s="30">
        <f>IF(Table2[[#This Row],[spend_inr]]=0,0,(Table2[[#This Row],[revenue_inr]]-Table2[[#This Row],[spend_inr]])/Table2[[#This Row],[spend_inr]])</f>
        <v>0.88568166992824537</v>
      </c>
      <c r="S29" s="31">
        <f>IF(Table2[[#This Row],[impressions]]=0,0,(Table2[[#This Row],[likes]]+Table2[[#This Row],[comments]]+Table2[[#This Row],[shares]])/Table2[[#This Row],[impressions]])</f>
        <v>4.0102505917564901E-3</v>
      </c>
      <c r="T29" s="27"/>
    </row>
    <row r="30" spans="1:20" ht="15.75">
      <c r="A30" s="23" t="s">
        <v>42</v>
      </c>
      <c r="B30" s="20" t="s">
        <v>48</v>
      </c>
      <c r="C30" s="20" t="s">
        <v>45</v>
      </c>
      <c r="D30" s="20" t="s">
        <v>46</v>
      </c>
      <c r="E30" s="20" t="s">
        <v>50</v>
      </c>
      <c r="F30" s="20">
        <v>24502</v>
      </c>
      <c r="G30" s="20">
        <v>172</v>
      </c>
      <c r="H30" s="20">
        <v>5</v>
      </c>
      <c r="I30" s="20">
        <v>8452.08</v>
      </c>
      <c r="J30" s="20">
        <v>4895.51</v>
      </c>
      <c r="K30" s="20">
        <v>82</v>
      </c>
      <c r="L30" s="20">
        <v>8</v>
      </c>
      <c r="M30" s="20">
        <v>2</v>
      </c>
      <c r="N30" s="29">
        <f>IF(Table2[[#This Row],[impressions]]=0,0,Table2[[#This Row],[spend_inr]]/Table2[[#This Row],[impressions]]*1000)</f>
        <v>344.95469757570811</v>
      </c>
      <c r="O30" s="31">
        <f>IF(Table2[[#This Row],[impressions]]=0,0,Table2[[#This Row],[clicks]]/Table2[[#This Row],[impressions]])</f>
        <v>7.0198351155007751E-3</v>
      </c>
      <c r="P30" s="32">
        <f>IF(Table2[[#This Row],[clicks]]=0,0,Table2[[#This Row],[spend_inr]]/Table2[[#This Row],[clicks]])</f>
        <v>49.14</v>
      </c>
      <c r="Q30" s="31">
        <f>IF(Table2[[#This Row],[clicks]]=0,0,Table2[[#This Row],[conversions]]/Table2[[#This Row],[clicks]])</f>
        <v>2.9069767441860465E-2</v>
      </c>
      <c r="R30" s="30">
        <f>IF(Table2[[#This Row],[spend_inr]]=0,0,(Table2[[#This Row],[revenue_inr]]-Table2[[#This Row],[spend_inr]])/Table2[[#This Row],[spend_inr]])</f>
        <v>-0.42079227835041788</v>
      </c>
      <c r="S30" s="31">
        <f>IF(Table2[[#This Row],[impressions]]=0,0,(Table2[[#This Row],[likes]]+Table2[[#This Row],[comments]]+Table2[[#This Row],[shares]])/Table2[[#This Row],[impressions]])</f>
        <v>3.7547955268957636E-3</v>
      </c>
      <c r="T30" s="27"/>
    </row>
    <row r="31" spans="1:20" ht="15.75">
      <c r="A31" s="23" t="s">
        <v>37</v>
      </c>
      <c r="B31" s="20" t="s">
        <v>43</v>
      </c>
      <c r="C31" s="20" t="s">
        <v>39</v>
      </c>
      <c r="D31" s="20" t="s">
        <v>46</v>
      </c>
      <c r="E31" s="20" t="s">
        <v>50</v>
      </c>
      <c r="F31" s="20">
        <v>15323</v>
      </c>
      <c r="G31" s="20">
        <v>154</v>
      </c>
      <c r="H31" s="20">
        <v>4</v>
      </c>
      <c r="I31" s="20">
        <v>8451.35</v>
      </c>
      <c r="J31" s="20">
        <v>3775.26</v>
      </c>
      <c r="K31" s="20">
        <v>52</v>
      </c>
      <c r="L31" s="20">
        <v>3</v>
      </c>
      <c r="M31" s="20">
        <v>4</v>
      </c>
      <c r="N31" s="29">
        <f>IF(Table2[[#This Row],[impressions]]=0,0,Table2[[#This Row],[spend_inr]]/Table2[[#This Row],[impressions]]*1000)</f>
        <v>551.54669451151858</v>
      </c>
      <c r="O31" s="31">
        <f>IF(Table2[[#This Row],[impressions]]=0,0,Table2[[#This Row],[clicks]]/Table2[[#This Row],[impressions]])</f>
        <v>1.0050251256281407E-2</v>
      </c>
      <c r="P31" s="32">
        <f>IF(Table2[[#This Row],[clicks]]=0,0,Table2[[#This Row],[spend_inr]]/Table2[[#This Row],[clicks]])</f>
        <v>54.878896103896103</v>
      </c>
      <c r="Q31" s="31">
        <f>IF(Table2[[#This Row],[clicks]]=0,0,Table2[[#This Row],[conversions]]/Table2[[#This Row],[clicks]])</f>
        <v>2.5974025974025976E-2</v>
      </c>
      <c r="R31" s="30">
        <f>IF(Table2[[#This Row],[spend_inr]]=0,0,(Table2[[#This Row],[revenue_inr]]-Table2[[#This Row],[spend_inr]])/Table2[[#This Row],[spend_inr]])</f>
        <v>-0.5532950357043549</v>
      </c>
      <c r="S31" s="31">
        <f>IF(Table2[[#This Row],[impressions]]=0,0,(Table2[[#This Row],[likes]]+Table2[[#This Row],[comments]]+Table2[[#This Row],[shares]])/Table2[[#This Row],[impressions]])</f>
        <v>3.8504209358480716E-3</v>
      </c>
      <c r="T31" s="27"/>
    </row>
    <row r="32" spans="1:20" ht="15.75">
      <c r="A32" s="23" t="s">
        <v>42</v>
      </c>
      <c r="B32" s="20" t="s">
        <v>48</v>
      </c>
      <c r="C32" s="20" t="s">
        <v>39</v>
      </c>
      <c r="D32" s="20" t="s">
        <v>40</v>
      </c>
      <c r="E32" s="20" t="s">
        <v>47</v>
      </c>
      <c r="F32" s="20">
        <v>48552</v>
      </c>
      <c r="G32" s="20">
        <v>594</v>
      </c>
      <c r="H32" s="20">
        <v>11</v>
      </c>
      <c r="I32" s="20">
        <v>8449.18</v>
      </c>
      <c r="J32" s="20">
        <v>12741.66</v>
      </c>
      <c r="K32" s="20">
        <v>278</v>
      </c>
      <c r="L32" s="20">
        <v>18</v>
      </c>
      <c r="M32" s="20">
        <v>11</v>
      </c>
      <c r="N32" s="29">
        <f>IF(Table2[[#This Row],[impressions]]=0,0,Table2[[#This Row],[spend_inr]]/Table2[[#This Row],[impressions]]*1000)</f>
        <v>174.02331520843634</v>
      </c>
      <c r="O32" s="31">
        <f>IF(Table2[[#This Row],[impressions]]=0,0,Table2[[#This Row],[clicks]]/Table2[[#This Row],[impressions]])</f>
        <v>1.2234305486900642E-2</v>
      </c>
      <c r="P32" s="32">
        <f>IF(Table2[[#This Row],[clicks]]=0,0,Table2[[#This Row],[spend_inr]]/Table2[[#This Row],[clicks]])</f>
        <v>14.224208754208755</v>
      </c>
      <c r="Q32" s="31">
        <f>IF(Table2[[#This Row],[clicks]]=0,0,Table2[[#This Row],[conversions]]/Table2[[#This Row],[clicks]])</f>
        <v>1.8518518518518517E-2</v>
      </c>
      <c r="R32" s="30">
        <f>IF(Table2[[#This Row],[spend_inr]]=0,0,(Table2[[#This Row],[revenue_inr]]-Table2[[#This Row],[spend_inr]])/Table2[[#This Row],[spend_inr]])</f>
        <v>0.50803509926407053</v>
      </c>
      <c r="S32" s="31">
        <f>IF(Table2[[#This Row],[impressions]]=0,0,(Table2[[#This Row],[likes]]+Table2[[#This Row],[comments]]+Table2[[#This Row],[shares]])/Table2[[#This Row],[impressions]])</f>
        <v>6.3231174822870329E-3</v>
      </c>
      <c r="T32" s="27"/>
    </row>
    <row r="33" spans="1:20" ht="15.75">
      <c r="A33" s="23" t="s">
        <v>52</v>
      </c>
      <c r="B33" s="20" t="s">
        <v>38</v>
      </c>
      <c r="C33" s="20" t="s">
        <v>55</v>
      </c>
      <c r="D33" s="20" t="s">
        <v>46</v>
      </c>
      <c r="E33" s="20" t="s">
        <v>53</v>
      </c>
      <c r="F33" s="20">
        <v>22757</v>
      </c>
      <c r="G33" s="20">
        <v>364</v>
      </c>
      <c r="H33" s="20">
        <v>9</v>
      </c>
      <c r="I33" s="20">
        <v>8441.68</v>
      </c>
      <c r="J33" s="20">
        <v>9536.85</v>
      </c>
      <c r="K33" s="20">
        <v>0</v>
      </c>
      <c r="L33" s="20">
        <v>0</v>
      </c>
      <c r="M33" s="20">
        <v>0</v>
      </c>
      <c r="N33" s="29">
        <f>IF(Table2[[#This Row],[impressions]]=0,0,Table2[[#This Row],[spend_inr]]/Table2[[#This Row],[impressions]]*1000)</f>
        <v>370.94871907544933</v>
      </c>
      <c r="O33" s="31">
        <f>IF(Table2[[#This Row],[impressions]]=0,0,Table2[[#This Row],[clicks]]/Table2[[#This Row],[impressions]])</f>
        <v>1.5995078437403876E-2</v>
      </c>
      <c r="P33" s="32">
        <f>IF(Table2[[#This Row],[clicks]]=0,0,Table2[[#This Row],[spend_inr]]/Table2[[#This Row],[clicks]])</f>
        <v>23.191428571428574</v>
      </c>
      <c r="Q33" s="31">
        <f>IF(Table2[[#This Row],[clicks]]=0,0,Table2[[#This Row],[conversions]]/Table2[[#This Row],[clicks]])</f>
        <v>2.4725274725274724E-2</v>
      </c>
      <c r="R33" s="30">
        <f>IF(Table2[[#This Row],[spend_inr]]=0,0,(Table2[[#This Row],[revenue_inr]]-Table2[[#This Row],[spend_inr]])/Table2[[#This Row],[spend_inr]])</f>
        <v>0.12973365491229236</v>
      </c>
      <c r="S33" s="31">
        <f>IF(Table2[[#This Row],[impressions]]=0,0,(Table2[[#This Row],[likes]]+Table2[[#This Row],[comments]]+Table2[[#This Row],[shares]])/Table2[[#This Row],[impressions]])</f>
        <v>0</v>
      </c>
      <c r="T33" s="27"/>
    </row>
    <row r="34" spans="1:20" ht="15.75">
      <c r="A34" s="23" t="s">
        <v>42</v>
      </c>
      <c r="B34" s="20" t="s">
        <v>38</v>
      </c>
      <c r="C34" s="20" t="s">
        <v>39</v>
      </c>
      <c r="D34" s="20" t="s">
        <v>46</v>
      </c>
      <c r="E34" s="20" t="s">
        <v>50</v>
      </c>
      <c r="F34" s="20">
        <v>59641</v>
      </c>
      <c r="G34" s="20">
        <v>815</v>
      </c>
      <c r="H34" s="20">
        <v>16</v>
      </c>
      <c r="I34" s="20">
        <v>8439.76</v>
      </c>
      <c r="J34" s="20">
        <v>8163.95</v>
      </c>
      <c r="K34" s="20">
        <v>251</v>
      </c>
      <c r="L34" s="20">
        <v>33</v>
      </c>
      <c r="M34" s="20">
        <v>15</v>
      </c>
      <c r="N34" s="29">
        <f>IF(Table2[[#This Row],[impressions]]=0,0,Table2[[#This Row],[spend_inr]]/Table2[[#This Row],[impressions]]*1000)</f>
        <v>141.50936436344125</v>
      </c>
      <c r="O34" s="31">
        <f>IF(Table2[[#This Row],[impressions]]=0,0,Table2[[#This Row],[clicks]]/Table2[[#This Row],[impressions]])</f>
        <v>1.3665096158682786E-2</v>
      </c>
      <c r="P34" s="32">
        <f>IF(Table2[[#This Row],[clicks]]=0,0,Table2[[#This Row],[spend_inr]]/Table2[[#This Row],[clicks]])</f>
        <v>10.355533742331289</v>
      </c>
      <c r="Q34" s="31">
        <f>IF(Table2[[#This Row],[clicks]]=0,0,Table2[[#This Row],[conversions]]/Table2[[#This Row],[clicks]])</f>
        <v>1.9631901840490799E-2</v>
      </c>
      <c r="R34" s="30">
        <f>IF(Table2[[#This Row],[spend_inr]]=0,0,(Table2[[#This Row],[revenue_inr]]-Table2[[#This Row],[spend_inr]])/Table2[[#This Row],[spend_inr]])</f>
        <v>-3.2679839237134752E-2</v>
      </c>
      <c r="S34" s="31">
        <f>IF(Table2[[#This Row],[impressions]]=0,0,(Table2[[#This Row],[likes]]+Table2[[#This Row],[comments]]+Table2[[#This Row],[shares]])/Table2[[#This Row],[impressions]])</f>
        <v>5.0133297563756474E-3</v>
      </c>
      <c r="T34" s="27"/>
    </row>
    <row r="35" spans="1:20" ht="15.75">
      <c r="A35" s="23" t="s">
        <v>42</v>
      </c>
      <c r="B35" s="20" t="s">
        <v>43</v>
      </c>
      <c r="C35" s="20" t="s">
        <v>39</v>
      </c>
      <c r="D35" s="20" t="s">
        <v>40</v>
      </c>
      <c r="E35" s="20" t="s">
        <v>47</v>
      </c>
      <c r="F35" s="20">
        <v>35034</v>
      </c>
      <c r="G35" s="20">
        <v>376</v>
      </c>
      <c r="H35" s="20">
        <v>5</v>
      </c>
      <c r="I35" s="20">
        <v>8436.7900000000009</v>
      </c>
      <c r="J35" s="20">
        <v>4376.05</v>
      </c>
      <c r="K35" s="20">
        <v>128</v>
      </c>
      <c r="L35" s="20">
        <v>19</v>
      </c>
      <c r="M35" s="20">
        <v>5</v>
      </c>
      <c r="N35" s="29">
        <f>IF(Table2[[#This Row],[impressions]]=0,0,Table2[[#This Row],[spend_inr]]/Table2[[#This Row],[impressions]]*1000)</f>
        <v>240.81720614260436</v>
      </c>
      <c r="O35" s="31">
        <f>IF(Table2[[#This Row],[impressions]]=0,0,Table2[[#This Row],[clicks]]/Table2[[#This Row],[impressions]])</f>
        <v>1.0732431352400526E-2</v>
      </c>
      <c r="P35" s="32">
        <f>IF(Table2[[#This Row],[clicks]]=0,0,Table2[[#This Row],[spend_inr]]/Table2[[#This Row],[clicks]])</f>
        <v>22.438271276595746</v>
      </c>
      <c r="Q35" s="31">
        <f>IF(Table2[[#This Row],[clicks]]=0,0,Table2[[#This Row],[conversions]]/Table2[[#This Row],[clicks]])</f>
        <v>1.3297872340425532E-2</v>
      </c>
      <c r="R35" s="30">
        <f>IF(Table2[[#This Row],[spend_inr]]=0,0,(Table2[[#This Row],[revenue_inr]]-Table2[[#This Row],[spend_inr]])/Table2[[#This Row],[spend_inr]])</f>
        <v>-0.48131339051938005</v>
      </c>
      <c r="S35" s="31">
        <f>IF(Table2[[#This Row],[impressions]]=0,0,(Table2[[#This Row],[likes]]+Table2[[#This Row],[comments]]+Table2[[#This Row],[shares]])/Table2[[#This Row],[impressions]])</f>
        <v>4.3386424616087228E-3</v>
      </c>
      <c r="T35" s="27"/>
    </row>
    <row r="36" spans="1:20" ht="15.75">
      <c r="A36" s="23" t="s">
        <v>52</v>
      </c>
      <c r="B36" s="20" t="s">
        <v>38</v>
      </c>
      <c r="C36" s="20" t="s">
        <v>54</v>
      </c>
      <c r="D36" s="20" t="s">
        <v>40</v>
      </c>
      <c r="E36" s="20" t="s">
        <v>56</v>
      </c>
      <c r="F36" s="20">
        <v>40193</v>
      </c>
      <c r="G36" s="20">
        <v>1123</v>
      </c>
      <c r="H36" s="20">
        <v>43</v>
      </c>
      <c r="I36" s="20">
        <v>8429.4599999999991</v>
      </c>
      <c r="J36" s="20">
        <v>0</v>
      </c>
      <c r="K36" s="20">
        <v>0</v>
      </c>
      <c r="L36" s="20">
        <v>0</v>
      </c>
      <c r="M36" s="20">
        <v>0</v>
      </c>
      <c r="N36" s="29">
        <f>IF(Table2[[#This Row],[impressions]]=0,0,Table2[[#This Row],[spend_inr]]/Table2[[#This Row],[impressions]]*1000)</f>
        <v>209.72457890677478</v>
      </c>
      <c r="O36" s="31">
        <f>IF(Table2[[#This Row],[impressions]]=0,0,Table2[[#This Row],[clicks]]/Table2[[#This Row],[impressions]])</f>
        <v>2.7940188590052994E-2</v>
      </c>
      <c r="P36" s="32">
        <f>IF(Table2[[#This Row],[clicks]]=0,0,Table2[[#This Row],[spend_inr]]/Table2[[#This Row],[clicks]])</f>
        <v>7.5061976847729293</v>
      </c>
      <c r="Q36" s="31">
        <f>IF(Table2[[#This Row],[clicks]]=0,0,Table2[[#This Row],[conversions]]/Table2[[#This Row],[clicks]])</f>
        <v>3.8290293855743542E-2</v>
      </c>
      <c r="R36" s="30">
        <f>IF(Table2[[#This Row],[spend_inr]]=0,0,(Table2[[#This Row],[revenue_inr]]-Table2[[#This Row],[spend_inr]])/Table2[[#This Row],[spend_inr]])</f>
        <v>-1</v>
      </c>
      <c r="S36" s="31">
        <f>IF(Table2[[#This Row],[impressions]]=0,0,(Table2[[#This Row],[likes]]+Table2[[#This Row],[comments]]+Table2[[#This Row],[shares]])/Table2[[#This Row],[impressions]])</f>
        <v>0</v>
      </c>
      <c r="T36" s="27"/>
    </row>
    <row r="37" spans="1:20" ht="15.75">
      <c r="A37" s="23" t="s">
        <v>52</v>
      </c>
      <c r="B37" s="20" t="s">
        <v>43</v>
      </c>
      <c r="C37" s="20" t="s">
        <v>55</v>
      </c>
      <c r="D37" s="20" t="s">
        <v>40</v>
      </c>
      <c r="E37" s="20" t="s">
        <v>53</v>
      </c>
      <c r="F37" s="20">
        <v>17490</v>
      </c>
      <c r="G37" s="20">
        <v>676</v>
      </c>
      <c r="H37" s="20">
        <v>22</v>
      </c>
      <c r="I37" s="20">
        <v>8351</v>
      </c>
      <c r="J37" s="20">
        <v>25693.61</v>
      </c>
      <c r="K37" s="20">
        <v>0</v>
      </c>
      <c r="L37" s="20">
        <v>0</v>
      </c>
      <c r="M37" s="20">
        <v>0</v>
      </c>
      <c r="N37" s="29">
        <f>IF(Table2[[#This Row],[impressions]]=0,0,Table2[[#This Row],[spend_inr]]/Table2[[#This Row],[impressions]]*1000)</f>
        <v>477.47284162378503</v>
      </c>
      <c r="O37" s="31">
        <f>IF(Table2[[#This Row],[impressions]]=0,0,Table2[[#This Row],[clicks]]/Table2[[#This Row],[impressions]])</f>
        <v>3.865065751858205E-2</v>
      </c>
      <c r="P37" s="32">
        <f>IF(Table2[[#This Row],[clicks]]=0,0,Table2[[#This Row],[spend_inr]]/Table2[[#This Row],[clicks]])</f>
        <v>12.353550295857989</v>
      </c>
      <c r="Q37" s="31">
        <f>IF(Table2[[#This Row],[clicks]]=0,0,Table2[[#This Row],[conversions]]/Table2[[#This Row],[clicks]])</f>
        <v>3.2544378698224852E-2</v>
      </c>
      <c r="R37" s="30">
        <f>IF(Table2[[#This Row],[spend_inr]]=0,0,(Table2[[#This Row],[revenue_inr]]-Table2[[#This Row],[spend_inr]])/Table2[[#This Row],[spend_inr]])</f>
        <v>2.0767105735840019</v>
      </c>
      <c r="S37" s="31">
        <f>IF(Table2[[#This Row],[impressions]]=0,0,(Table2[[#This Row],[likes]]+Table2[[#This Row],[comments]]+Table2[[#This Row],[shares]])/Table2[[#This Row],[impressions]])</f>
        <v>0</v>
      </c>
      <c r="T37" s="27"/>
    </row>
    <row r="38" spans="1:20" ht="15.75">
      <c r="A38" s="23" t="s">
        <v>42</v>
      </c>
      <c r="B38" s="20" t="s">
        <v>67</v>
      </c>
      <c r="C38" s="20" t="s">
        <v>54</v>
      </c>
      <c r="D38" s="20" t="s">
        <v>46</v>
      </c>
      <c r="E38" s="20" t="s">
        <v>47</v>
      </c>
      <c r="F38" s="20">
        <v>58009</v>
      </c>
      <c r="G38" s="20">
        <v>366</v>
      </c>
      <c r="H38" s="20">
        <v>6</v>
      </c>
      <c r="I38" s="20">
        <v>8333.7000000000007</v>
      </c>
      <c r="J38" s="20">
        <v>4533.9799999999996</v>
      </c>
      <c r="K38" s="20">
        <v>116</v>
      </c>
      <c r="L38" s="20">
        <v>13</v>
      </c>
      <c r="M38" s="20">
        <v>11</v>
      </c>
      <c r="N38" s="29">
        <f>IF(Table2[[#This Row],[impressions]]=0,0,Table2[[#This Row],[spend_inr]]/Table2[[#This Row],[impressions]]*1000)</f>
        <v>143.66219034977331</v>
      </c>
      <c r="O38" s="31">
        <f>IF(Table2[[#This Row],[impressions]]=0,0,Table2[[#This Row],[clicks]]/Table2[[#This Row],[impressions]])</f>
        <v>6.3093657880673691E-3</v>
      </c>
      <c r="P38" s="32">
        <f>IF(Table2[[#This Row],[clicks]]=0,0,Table2[[#This Row],[spend_inr]]/Table2[[#This Row],[clicks]])</f>
        <v>22.769672131147544</v>
      </c>
      <c r="Q38" s="31">
        <f>IF(Table2[[#This Row],[clicks]]=0,0,Table2[[#This Row],[conversions]]/Table2[[#This Row],[clicks]])</f>
        <v>1.6393442622950821E-2</v>
      </c>
      <c r="R38" s="30">
        <f>IF(Table2[[#This Row],[spend_inr]]=0,0,(Table2[[#This Row],[revenue_inr]]-Table2[[#This Row],[spend_inr]])/Table2[[#This Row],[spend_inr]])</f>
        <v>-0.4559463383611122</v>
      </c>
      <c r="S38" s="31">
        <f>IF(Table2[[#This Row],[impressions]]=0,0,(Table2[[#This Row],[likes]]+Table2[[#This Row],[comments]]+Table2[[#This Row],[shares]])/Table2[[#This Row],[impressions]])</f>
        <v>2.4134186074574633E-3</v>
      </c>
      <c r="T38" s="27"/>
    </row>
    <row r="39" spans="1:20" ht="15.75">
      <c r="A39" s="23" t="s">
        <v>42</v>
      </c>
      <c r="B39" s="20" t="s">
        <v>44</v>
      </c>
      <c r="C39" s="20" t="s">
        <v>54</v>
      </c>
      <c r="D39" s="20" t="s">
        <v>46</v>
      </c>
      <c r="E39" s="20" t="s">
        <v>41</v>
      </c>
      <c r="F39" s="20">
        <v>54851</v>
      </c>
      <c r="G39" s="20">
        <v>506</v>
      </c>
      <c r="H39" s="20">
        <v>5</v>
      </c>
      <c r="I39" s="20">
        <v>8323.66</v>
      </c>
      <c r="J39" s="20">
        <v>4254.3999999999996</v>
      </c>
      <c r="K39" s="20">
        <v>243</v>
      </c>
      <c r="L39" s="20">
        <v>28</v>
      </c>
      <c r="M39" s="20">
        <v>9</v>
      </c>
      <c r="N39" s="29">
        <f>IF(Table2[[#This Row],[impressions]]=0,0,Table2[[#This Row],[spend_inr]]/Table2[[#This Row],[impressions]]*1000)</f>
        <v>151.75037829756977</v>
      </c>
      <c r="O39" s="31">
        <f>IF(Table2[[#This Row],[impressions]]=0,0,Table2[[#This Row],[clicks]]/Table2[[#This Row],[impressions]])</f>
        <v>9.2249913401761131E-3</v>
      </c>
      <c r="P39" s="32">
        <f>IF(Table2[[#This Row],[clicks]]=0,0,Table2[[#This Row],[spend_inr]]/Table2[[#This Row],[clicks]])</f>
        <v>16.449920948616601</v>
      </c>
      <c r="Q39" s="31">
        <f>IF(Table2[[#This Row],[clicks]]=0,0,Table2[[#This Row],[conversions]]/Table2[[#This Row],[clicks]])</f>
        <v>9.881422924901186E-3</v>
      </c>
      <c r="R39" s="30">
        <f>IF(Table2[[#This Row],[spend_inr]]=0,0,(Table2[[#This Row],[revenue_inr]]-Table2[[#This Row],[spend_inr]])/Table2[[#This Row],[spend_inr]])</f>
        <v>-0.48887869038379755</v>
      </c>
      <c r="S39" s="31">
        <f>IF(Table2[[#This Row],[impressions]]=0,0,(Table2[[#This Row],[likes]]+Table2[[#This Row],[comments]]+Table2[[#This Row],[shares]])/Table2[[#This Row],[impressions]])</f>
        <v>5.1047382910065454E-3</v>
      </c>
      <c r="T39" s="27"/>
    </row>
    <row r="40" spans="1:20" ht="15.75">
      <c r="A40" s="23" t="s">
        <v>42</v>
      </c>
      <c r="B40" s="20" t="s">
        <v>43</v>
      </c>
      <c r="C40" s="20" t="s">
        <v>45</v>
      </c>
      <c r="D40" s="20" t="s">
        <v>46</v>
      </c>
      <c r="E40" s="20" t="s">
        <v>50</v>
      </c>
      <c r="F40" s="20">
        <v>47468</v>
      </c>
      <c r="G40" s="20">
        <v>622</v>
      </c>
      <c r="H40" s="20">
        <v>16</v>
      </c>
      <c r="I40" s="20">
        <v>8305.4699999999993</v>
      </c>
      <c r="J40" s="20">
        <v>12082.68</v>
      </c>
      <c r="K40" s="20">
        <v>274</v>
      </c>
      <c r="L40" s="20">
        <v>19</v>
      </c>
      <c r="M40" s="20">
        <v>15</v>
      </c>
      <c r="N40" s="29">
        <f>IF(Table2[[#This Row],[impressions]]=0,0,Table2[[#This Row],[spend_inr]]/Table2[[#This Row],[impressions]]*1000)</f>
        <v>174.96987444172916</v>
      </c>
      <c r="O40" s="31">
        <f>IF(Table2[[#This Row],[impressions]]=0,0,Table2[[#This Row],[clicks]]/Table2[[#This Row],[impressions]])</f>
        <v>1.3103564506614982E-2</v>
      </c>
      <c r="P40" s="32">
        <f>IF(Table2[[#This Row],[clicks]]=0,0,Table2[[#This Row],[spend_inr]]/Table2[[#This Row],[clicks]])</f>
        <v>13.352845659163986</v>
      </c>
      <c r="Q40" s="31">
        <f>IF(Table2[[#This Row],[clicks]]=0,0,Table2[[#This Row],[conversions]]/Table2[[#This Row],[clicks]])</f>
        <v>2.5723472668810289E-2</v>
      </c>
      <c r="R40" s="30">
        <f>IF(Table2[[#This Row],[spend_inr]]=0,0,(Table2[[#This Row],[revenue_inr]]-Table2[[#This Row],[spend_inr]])/Table2[[#This Row],[spend_inr]])</f>
        <v>0.45478582187401811</v>
      </c>
      <c r="S40" s="31">
        <f>IF(Table2[[#This Row],[impressions]]=0,0,(Table2[[#This Row],[likes]]+Table2[[#This Row],[comments]]+Table2[[#This Row],[shares]])/Table2[[#This Row],[impressions]])</f>
        <v>6.4885817814106343E-3</v>
      </c>
      <c r="T40" s="27"/>
    </row>
    <row r="41" spans="1:20" ht="15.75">
      <c r="A41" s="23" t="s">
        <v>37</v>
      </c>
      <c r="B41" s="20" t="s">
        <v>48</v>
      </c>
      <c r="C41" s="20" t="s">
        <v>54</v>
      </c>
      <c r="D41" s="20" t="s">
        <v>40</v>
      </c>
      <c r="E41" s="20" t="s">
        <v>50</v>
      </c>
      <c r="F41" s="20">
        <v>57837</v>
      </c>
      <c r="G41" s="20">
        <v>948</v>
      </c>
      <c r="H41" s="20">
        <v>28</v>
      </c>
      <c r="I41" s="20">
        <v>8274.92</v>
      </c>
      <c r="J41" s="20">
        <v>36723.040000000001</v>
      </c>
      <c r="K41" s="20">
        <v>345</v>
      </c>
      <c r="L41" s="20">
        <v>42</v>
      </c>
      <c r="M41" s="20">
        <v>14</v>
      </c>
      <c r="N41" s="29">
        <f>IF(Table2[[#This Row],[impressions]]=0,0,Table2[[#This Row],[spend_inr]]/Table2[[#This Row],[impressions]]*1000)</f>
        <v>143.07311928350364</v>
      </c>
      <c r="O41" s="31">
        <f>IF(Table2[[#This Row],[impressions]]=0,0,Table2[[#This Row],[clicks]]/Table2[[#This Row],[impressions]])</f>
        <v>1.6390891643757455E-2</v>
      </c>
      <c r="P41" s="32">
        <f>IF(Table2[[#This Row],[clicks]]=0,0,Table2[[#This Row],[spend_inr]]/Table2[[#This Row],[clicks]])</f>
        <v>8.7288185654008448</v>
      </c>
      <c r="Q41" s="31">
        <f>IF(Table2[[#This Row],[clicks]]=0,0,Table2[[#This Row],[conversions]]/Table2[[#This Row],[clicks]])</f>
        <v>2.9535864978902954E-2</v>
      </c>
      <c r="R41" s="30">
        <f>IF(Table2[[#This Row],[spend_inr]]=0,0,(Table2[[#This Row],[revenue_inr]]-Table2[[#This Row],[spend_inr]])/Table2[[#This Row],[spend_inr]])</f>
        <v>3.4378725111541866</v>
      </c>
      <c r="S41" s="31">
        <f>IF(Table2[[#This Row],[impressions]]=0,0,(Table2[[#This Row],[likes]]+Table2[[#This Row],[comments]]+Table2[[#This Row],[shares]])/Table2[[#This Row],[impressions]])</f>
        <v>6.9332780054290506E-3</v>
      </c>
      <c r="T41" s="27"/>
    </row>
    <row r="42" spans="1:20" ht="15.75">
      <c r="A42" s="23" t="s">
        <v>42</v>
      </c>
      <c r="B42" s="20" t="s">
        <v>43</v>
      </c>
      <c r="C42" s="20" t="s">
        <v>45</v>
      </c>
      <c r="D42" s="20" t="s">
        <v>46</v>
      </c>
      <c r="E42" s="20" t="s">
        <v>41</v>
      </c>
      <c r="F42" s="20">
        <v>48508</v>
      </c>
      <c r="G42" s="20">
        <v>233</v>
      </c>
      <c r="H42" s="20">
        <v>3</v>
      </c>
      <c r="I42" s="20">
        <v>8251.7000000000007</v>
      </c>
      <c r="J42" s="20">
        <v>2498.5700000000002</v>
      </c>
      <c r="K42" s="20">
        <v>90</v>
      </c>
      <c r="L42" s="20">
        <v>13</v>
      </c>
      <c r="M42" s="20">
        <v>8</v>
      </c>
      <c r="N42" s="29">
        <f>IF(Table2[[#This Row],[impressions]]=0,0,Table2[[#This Row],[spend_inr]]/Table2[[#This Row],[impressions]]*1000)</f>
        <v>170.11008493444382</v>
      </c>
      <c r="O42" s="31">
        <f>IF(Table2[[#This Row],[impressions]]=0,0,Table2[[#This Row],[clicks]]/Table2[[#This Row],[impressions]])</f>
        <v>4.803331409252082E-3</v>
      </c>
      <c r="P42" s="32">
        <f>IF(Table2[[#This Row],[clicks]]=0,0,Table2[[#This Row],[spend_inr]]/Table2[[#This Row],[clicks]])</f>
        <v>35.415021459227468</v>
      </c>
      <c r="Q42" s="31">
        <f>IF(Table2[[#This Row],[clicks]]=0,0,Table2[[#This Row],[conversions]]/Table2[[#This Row],[clicks]])</f>
        <v>1.2875536480686695E-2</v>
      </c>
      <c r="R42" s="30">
        <f>IF(Table2[[#This Row],[spend_inr]]=0,0,(Table2[[#This Row],[revenue_inr]]-Table2[[#This Row],[spend_inr]])/Table2[[#This Row],[spend_inr]])</f>
        <v>-0.69720542433680344</v>
      </c>
      <c r="S42" s="31">
        <f>IF(Table2[[#This Row],[impressions]]=0,0,(Table2[[#This Row],[likes]]+Table2[[#This Row],[comments]]+Table2[[#This Row],[shares]])/Table2[[#This Row],[impressions]])</f>
        <v>2.2882823451801765E-3</v>
      </c>
      <c r="T42" s="27"/>
    </row>
    <row r="43" spans="1:20" ht="15.75">
      <c r="A43" s="23" t="s">
        <v>51</v>
      </c>
      <c r="B43" s="20" t="s">
        <v>48</v>
      </c>
      <c r="C43" s="20" t="s">
        <v>54</v>
      </c>
      <c r="D43" s="20" t="s">
        <v>40</v>
      </c>
      <c r="E43" s="20" t="s">
        <v>50</v>
      </c>
      <c r="F43" s="20">
        <v>25192</v>
      </c>
      <c r="G43" s="20">
        <v>189</v>
      </c>
      <c r="H43" s="20">
        <v>2</v>
      </c>
      <c r="I43" s="20">
        <v>8228.1299999999992</v>
      </c>
      <c r="J43" s="20">
        <v>1316.47</v>
      </c>
      <c r="K43" s="20">
        <v>67</v>
      </c>
      <c r="L43" s="20">
        <v>7</v>
      </c>
      <c r="M43" s="20">
        <v>3</v>
      </c>
      <c r="N43" s="29">
        <f>IF(Table2[[#This Row],[impressions]]=0,0,Table2[[#This Row],[spend_inr]]/Table2[[#This Row],[impressions]]*1000)</f>
        <v>326.6167831057478</v>
      </c>
      <c r="O43" s="31">
        <f>IF(Table2[[#This Row],[impressions]]=0,0,Table2[[#This Row],[clicks]]/Table2[[#This Row],[impressions]])</f>
        <v>7.5023817084788821E-3</v>
      </c>
      <c r="P43" s="32">
        <f>IF(Table2[[#This Row],[clicks]]=0,0,Table2[[#This Row],[spend_inr]]/Table2[[#This Row],[clicks]])</f>
        <v>43.535079365079362</v>
      </c>
      <c r="Q43" s="31">
        <f>IF(Table2[[#This Row],[clicks]]=0,0,Table2[[#This Row],[conversions]]/Table2[[#This Row],[clicks]])</f>
        <v>1.0582010582010581E-2</v>
      </c>
      <c r="R43" s="30">
        <f>IF(Table2[[#This Row],[spend_inr]]=0,0,(Table2[[#This Row],[revenue_inr]]-Table2[[#This Row],[spend_inr]])/Table2[[#This Row],[spend_inr]])</f>
        <v>-0.84000374325636562</v>
      </c>
      <c r="S43" s="31">
        <f>IF(Table2[[#This Row],[impressions]]=0,0,(Table2[[#This Row],[likes]]+Table2[[#This Row],[comments]]+Table2[[#This Row],[shares]])/Table2[[#This Row],[impressions]])</f>
        <v>3.0565258812321372E-3</v>
      </c>
      <c r="T43" s="27"/>
    </row>
    <row r="44" spans="1:20" ht="15.75">
      <c r="A44" s="23" t="s">
        <v>42</v>
      </c>
      <c r="B44" s="20" t="s">
        <v>48</v>
      </c>
      <c r="C44" s="20" t="s">
        <v>39</v>
      </c>
      <c r="D44" s="20" t="s">
        <v>40</v>
      </c>
      <c r="E44" s="20" t="s">
        <v>41</v>
      </c>
      <c r="F44" s="20">
        <v>13040</v>
      </c>
      <c r="G44" s="20">
        <v>92</v>
      </c>
      <c r="H44" s="20">
        <v>1</v>
      </c>
      <c r="I44" s="20">
        <v>8195.56</v>
      </c>
      <c r="J44" s="20">
        <v>661.25</v>
      </c>
      <c r="K44" s="20">
        <v>39</v>
      </c>
      <c r="L44" s="20">
        <v>4</v>
      </c>
      <c r="M44" s="20">
        <v>1</v>
      </c>
      <c r="N44" s="29">
        <f>IF(Table2[[#This Row],[impressions]]=0,0,Table2[[#This Row],[spend_inr]]/Table2[[#This Row],[impressions]]*1000)</f>
        <v>628.49386503067478</v>
      </c>
      <c r="O44" s="31">
        <f>IF(Table2[[#This Row],[impressions]]=0,0,Table2[[#This Row],[clicks]]/Table2[[#This Row],[impressions]])</f>
        <v>7.0552147239263804E-3</v>
      </c>
      <c r="P44" s="32">
        <f>IF(Table2[[#This Row],[clicks]]=0,0,Table2[[#This Row],[spend_inr]]/Table2[[#This Row],[clicks]])</f>
        <v>89.082173913043476</v>
      </c>
      <c r="Q44" s="31">
        <f>IF(Table2[[#This Row],[clicks]]=0,0,Table2[[#This Row],[conversions]]/Table2[[#This Row],[clicks]])</f>
        <v>1.0869565217391304E-2</v>
      </c>
      <c r="R44" s="30">
        <f>IF(Table2[[#This Row],[spend_inr]]=0,0,(Table2[[#This Row],[revenue_inr]]-Table2[[#This Row],[spend_inr]])/Table2[[#This Row],[spend_inr]])</f>
        <v>-0.91931606870061344</v>
      </c>
      <c r="S44" s="31">
        <f>IF(Table2[[#This Row],[impressions]]=0,0,(Table2[[#This Row],[likes]]+Table2[[#This Row],[comments]]+Table2[[#This Row],[shares]])/Table2[[#This Row],[impressions]])</f>
        <v>3.3742331288343559E-3</v>
      </c>
      <c r="T44" s="27"/>
    </row>
    <row r="45" spans="1:20" ht="15.75">
      <c r="A45" s="23" t="s">
        <v>51</v>
      </c>
      <c r="B45" s="20" t="s">
        <v>48</v>
      </c>
      <c r="C45" s="20" t="s">
        <v>49</v>
      </c>
      <c r="D45" s="20" t="s">
        <v>46</v>
      </c>
      <c r="E45" s="20" t="s">
        <v>50</v>
      </c>
      <c r="F45" s="20">
        <v>45189</v>
      </c>
      <c r="G45" s="20">
        <v>533</v>
      </c>
      <c r="H45" s="20">
        <v>8</v>
      </c>
      <c r="I45" s="20">
        <v>8194.32</v>
      </c>
      <c r="J45" s="20">
        <v>6642.25</v>
      </c>
      <c r="K45" s="20">
        <v>228</v>
      </c>
      <c r="L45" s="20">
        <v>25</v>
      </c>
      <c r="M45" s="20">
        <v>6</v>
      </c>
      <c r="N45" s="29">
        <f>IF(Table2[[#This Row],[impressions]]=0,0,Table2[[#This Row],[spend_inr]]/Table2[[#This Row],[impressions]]*1000)</f>
        <v>181.33439553873728</v>
      </c>
      <c r="O45" s="31">
        <f>IF(Table2[[#This Row],[impressions]]=0,0,Table2[[#This Row],[clicks]]/Table2[[#This Row],[impressions]])</f>
        <v>1.1794905839916794E-2</v>
      </c>
      <c r="P45" s="32">
        <f>IF(Table2[[#This Row],[clicks]]=0,0,Table2[[#This Row],[spend_inr]]/Table2[[#This Row],[clicks]])</f>
        <v>15.373958724202627</v>
      </c>
      <c r="Q45" s="31">
        <f>IF(Table2[[#This Row],[clicks]]=0,0,Table2[[#This Row],[conversions]]/Table2[[#This Row],[clicks]])</f>
        <v>1.50093808630394E-2</v>
      </c>
      <c r="R45" s="30">
        <f>IF(Table2[[#This Row],[spend_inr]]=0,0,(Table2[[#This Row],[revenue_inr]]-Table2[[#This Row],[spend_inr]])/Table2[[#This Row],[spend_inr]])</f>
        <v>-0.18940802897616882</v>
      </c>
      <c r="S45" s="31">
        <f>IF(Table2[[#This Row],[impressions]]=0,0,(Table2[[#This Row],[likes]]+Table2[[#This Row],[comments]]+Table2[[#This Row],[shares]])/Table2[[#This Row],[impressions]])</f>
        <v>5.7314833255880859E-3</v>
      </c>
      <c r="T45" s="27"/>
    </row>
    <row r="46" spans="1:20" ht="15.75">
      <c r="A46" s="23" t="s">
        <v>37</v>
      </c>
      <c r="B46" s="20" t="s">
        <v>44</v>
      </c>
      <c r="C46" s="20" t="s">
        <v>49</v>
      </c>
      <c r="D46" s="20" t="s">
        <v>40</v>
      </c>
      <c r="E46" s="20" t="s">
        <v>47</v>
      </c>
      <c r="F46" s="20">
        <v>28453</v>
      </c>
      <c r="G46" s="20">
        <v>458</v>
      </c>
      <c r="H46" s="20">
        <v>14</v>
      </c>
      <c r="I46" s="20">
        <v>8193.0300000000007</v>
      </c>
      <c r="J46" s="20">
        <v>11303.31</v>
      </c>
      <c r="K46" s="20">
        <v>169</v>
      </c>
      <c r="L46" s="20">
        <v>13</v>
      </c>
      <c r="M46" s="20">
        <v>5</v>
      </c>
      <c r="N46" s="29">
        <f>IF(Table2[[#This Row],[impressions]]=0,0,Table2[[#This Row],[spend_inr]]/Table2[[#This Row],[impressions]]*1000)</f>
        <v>287.94960109654522</v>
      </c>
      <c r="O46" s="31">
        <f>IF(Table2[[#This Row],[impressions]]=0,0,Table2[[#This Row],[clicks]]/Table2[[#This Row],[impressions]])</f>
        <v>1.6096720908164341E-2</v>
      </c>
      <c r="P46" s="32">
        <f>IF(Table2[[#This Row],[clicks]]=0,0,Table2[[#This Row],[spend_inr]]/Table2[[#This Row],[clicks]])</f>
        <v>17.888711790393014</v>
      </c>
      <c r="Q46" s="31">
        <f>IF(Table2[[#This Row],[clicks]]=0,0,Table2[[#This Row],[conversions]]/Table2[[#This Row],[clicks]])</f>
        <v>3.0567685589519649E-2</v>
      </c>
      <c r="R46" s="30">
        <f>IF(Table2[[#This Row],[spend_inr]]=0,0,(Table2[[#This Row],[revenue_inr]]-Table2[[#This Row],[spend_inr]])/Table2[[#This Row],[spend_inr]])</f>
        <v>0.37962512037671026</v>
      </c>
      <c r="S46" s="31">
        <f>IF(Table2[[#This Row],[impressions]]=0,0,(Table2[[#This Row],[likes]]+Table2[[#This Row],[comments]]+Table2[[#This Row],[shares]])/Table2[[#This Row],[impressions]])</f>
        <v>6.5722419428531258E-3</v>
      </c>
      <c r="T46" s="27"/>
    </row>
    <row r="47" spans="1:20" ht="15.75">
      <c r="A47" s="23" t="s">
        <v>42</v>
      </c>
      <c r="B47" s="20" t="s">
        <v>44</v>
      </c>
      <c r="C47" s="20" t="s">
        <v>55</v>
      </c>
      <c r="D47" s="20" t="s">
        <v>40</v>
      </c>
      <c r="E47" s="20" t="s">
        <v>41</v>
      </c>
      <c r="F47" s="20">
        <v>70386</v>
      </c>
      <c r="G47" s="20">
        <v>97</v>
      </c>
      <c r="H47" s="20">
        <v>2</v>
      </c>
      <c r="I47" s="20">
        <v>8192.19</v>
      </c>
      <c r="J47" s="20">
        <v>1634.68</v>
      </c>
      <c r="K47" s="20">
        <v>37</v>
      </c>
      <c r="L47" s="20">
        <v>2</v>
      </c>
      <c r="M47" s="20">
        <v>1</v>
      </c>
      <c r="N47" s="29">
        <f>IF(Table2[[#This Row],[impressions]]=0,0,Table2[[#This Row],[spend_inr]]/Table2[[#This Row],[impressions]]*1000)</f>
        <v>116.38948086267156</v>
      </c>
      <c r="O47" s="31">
        <f>IF(Table2[[#This Row],[impressions]]=0,0,Table2[[#This Row],[clicks]]/Table2[[#This Row],[impressions]])</f>
        <v>1.3781149660443838E-3</v>
      </c>
      <c r="P47" s="32">
        <f>IF(Table2[[#This Row],[clicks]]=0,0,Table2[[#This Row],[spend_inr]]/Table2[[#This Row],[clicks]])</f>
        <v>84.455567010309281</v>
      </c>
      <c r="Q47" s="31">
        <f>IF(Table2[[#This Row],[clicks]]=0,0,Table2[[#This Row],[conversions]]/Table2[[#This Row],[clicks]])</f>
        <v>2.0618556701030927E-2</v>
      </c>
      <c r="R47" s="30">
        <f>IF(Table2[[#This Row],[spend_inr]]=0,0,(Table2[[#This Row],[revenue_inr]]-Table2[[#This Row],[spend_inr]])/Table2[[#This Row],[spend_inr]])</f>
        <v>-0.80045872959489461</v>
      </c>
      <c r="S47" s="31">
        <f>IF(Table2[[#This Row],[impressions]]=0,0,(Table2[[#This Row],[likes]]+Table2[[#This Row],[comments]]+Table2[[#This Row],[shares]])/Table2[[#This Row],[impressions]])</f>
        <v>5.6829483135850884E-4</v>
      </c>
      <c r="T47" s="27"/>
    </row>
    <row r="48" spans="1:20" ht="15.75">
      <c r="A48" s="23" t="s">
        <v>51</v>
      </c>
      <c r="B48" s="20" t="s">
        <v>44</v>
      </c>
      <c r="C48" s="20" t="s">
        <v>39</v>
      </c>
      <c r="D48" s="20" t="s">
        <v>40</v>
      </c>
      <c r="E48" s="20" t="s">
        <v>50</v>
      </c>
      <c r="F48" s="20">
        <v>61510</v>
      </c>
      <c r="G48" s="20">
        <v>468</v>
      </c>
      <c r="H48" s="20">
        <v>6</v>
      </c>
      <c r="I48" s="20">
        <v>8182.14</v>
      </c>
      <c r="J48" s="20">
        <v>7145.24</v>
      </c>
      <c r="K48" s="20">
        <v>221</v>
      </c>
      <c r="L48" s="20">
        <v>12</v>
      </c>
      <c r="M48" s="20">
        <v>11</v>
      </c>
      <c r="N48" s="29">
        <f>IF(Table2[[#This Row],[impressions]]=0,0,Table2[[#This Row],[spend_inr]]/Table2[[#This Row],[impressions]]*1000)</f>
        <v>133.02129735002438</v>
      </c>
      <c r="O48" s="31">
        <f>IF(Table2[[#This Row],[impressions]]=0,0,Table2[[#This Row],[clicks]]/Table2[[#This Row],[impressions]])</f>
        <v>7.6085189400097548E-3</v>
      </c>
      <c r="P48" s="32">
        <f>IF(Table2[[#This Row],[clicks]]=0,0,Table2[[#This Row],[spend_inr]]/Table2[[#This Row],[clicks]])</f>
        <v>17.483205128205128</v>
      </c>
      <c r="Q48" s="31">
        <f>IF(Table2[[#This Row],[clicks]]=0,0,Table2[[#This Row],[conversions]]/Table2[[#This Row],[clicks]])</f>
        <v>1.282051282051282E-2</v>
      </c>
      <c r="R48" s="30">
        <f>IF(Table2[[#This Row],[spend_inr]]=0,0,(Table2[[#This Row],[revenue_inr]]-Table2[[#This Row],[spend_inr]])/Table2[[#This Row],[spend_inr]])</f>
        <v>-0.12672723761754265</v>
      </c>
      <c r="S48" s="31">
        <f>IF(Table2[[#This Row],[impressions]]=0,0,(Table2[[#This Row],[likes]]+Table2[[#This Row],[comments]]+Table2[[#This Row],[shares]])/Table2[[#This Row],[impressions]])</f>
        <v>3.9668346610307265E-3</v>
      </c>
      <c r="T48" s="27"/>
    </row>
    <row r="49" spans="1:20" ht="15.75">
      <c r="A49" s="23" t="s">
        <v>37</v>
      </c>
      <c r="B49" s="20" t="s">
        <v>43</v>
      </c>
      <c r="C49" s="20" t="s">
        <v>55</v>
      </c>
      <c r="D49" s="20" t="s">
        <v>40</v>
      </c>
      <c r="E49" s="20" t="s">
        <v>47</v>
      </c>
      <c r="F49" s="20">
        <v>55702</v>
      </c>
      <c r="G49" s="20">
        <v>889</v>
      </c>
      <c r="H49" s="20">
        <v>24</v>
      </c>
      <c r="I49" s="20">
        <v>8159.41</v>
      </c>
      <c r="J49" s="20">
        <v>22020.22</v>
      </c>
      <c r="K49" s="20">
        <v>374</v>
      </c>
      <c r="L49" s="20">
        <v>36</v>
      </c>
      <c r="M49" s="20">
        <v>24</v>
      </c>
      <c r="N49" s="29">
        <f>IF(Table2[[#This Row],[impressions]]=0,0,Table2[[#This Row],[spend_inr]]/Table2[[#This Row],[impressions]]*1000)</f>
        <v>146.48325015259775</v>
      </c>
      <c r="O49" s="31">
        <f>IF(Table2[[#This Row],[impressions]]=0,0,Table2[[#This Row],[clicks]]/Table2[[#This Row],[impressions]])</f>
        <v>1.5959929625507165E-2</v>
      </c>
      <c r="P49" s="32">
        <f>IF(Table2[[#This Row],[clicks]]=0,0,Table2[[#This Row],[spend_inr]]/Table2[[#This Row],[clicks]])</f>
        <v>9.1781889763779532</v>
      </c>
      <c r="Q49" s="31">
        <f>IF(Table2[[#This Row],[clicks]]=0,0,Table2[[#This Row],[conversions]]/Table2[[#This Row],[clicks]])</f>
        <v>2.6996625421822271E-2</v>
      </c>
      <c r="R49" s="30">
        <f>IF(Table2[[#This Row],[spend_inr]]=0,0,(Table2[[#This Row],[revenue_inr]]-Table2[[#This Row],[spend_inr]])/Table2[[#This Row],[spend_inr]])</f>
        <v>1.6987515028660163</v>
      </c>
      <c r="S49" s="31">
        <f>IF(Table2[[#This Row],[impressions]]=0,0,(Table2[[#This Row],[likes]]+Table2[[#This Row],[comments]]+Table2[[#This Row],[shares]])/Table2[[#This Row],[impressions]])</f>
        <v>7.7914617069405048E-3</v>
      </c>
      <c r="T49" s="27"/>
    </row>
    <row r="50" spans="1:20" ht="15.75">
      <c r="A50" s="23" t="s">
        <v>51</v>
      </c>
      <c r="B50" s="20" t="s">
        <v>38</v>
      </c>
      <c r="C50" s="20" t="s">
        <v>54</v>
      </c>
      <c r="D50" s="20" t="s">
        <v>46</v>
      </c>
      <c r="E50" s="20" t="s">
        <v>50</v>
      </c>
      <c r="F50" s="20">
        <v>55272</v>
      </c>
      <c r="G50" s="20">
        <v>594</v>
      </c>
      <c r="H50" s="20">
        <v>13</v>
      </c>
      <c r="I50" s="20">
        <v>8149.26</v>
      </c>
      <c r="J50" s="20">
        <v>14887.96</v>
      </c>
      <c r="K50" s="20">
        <v>184</v>
      </c>
      <c r="L50" s="20">
        <v>18</v>
      </c>
      <c r="M50" s="20">
        <v>18</v>
      </c>
      <c r="N50" s="29">
        <f>IF(Table2[[#This Row],[impressions]]=0,0,Table2[[#This Row],[spend_inr]]/Table2[[#This Row],[impressions]]*1000)</f>
        <v>147.43920972644378</v>
      </c>
      <c r="O50" s="31">
        <f>IF(Table2[[#This Row],[impressions]]=0,0,Table2[[#This Row],[clicks]]/Table2[[#This Row],[impressions]])</f>
        <v>1.0746851932262267E-2</v>
      </c>
      <c r="P50" s="32">
        <f>IF(Table2[[#This Row],[clicks]]=0,0,Table2[[#This Row],[spend_inr]]/Table2[[#This Row],[clicks]])</f>
        <v>13.71929292929293</v>
      </c>
      <c r="Q50" s="31">
        <f>IF(Table2[[#This Row],[clicks]]=0,0,Table2[[#This Row],[conversions]]/Table2[[#This Row],[clicks]])</f>
        <v>2.1885521885521887E-2</v>
      </c>
      <c r="R50" s="30">
        <f>IF(Table2[[#This Row],[spend_inr]]=0,0,(Table2[[#This Row],[revenue_inr]]-Table2[[#This Row],[spend_inr]])/Table2[[#This Row],[spend_inr]])</f>
        <v>0.82690943717589072</v>
      </c>
      <c r="S50" s="31">
        <f>IF(Table2[[#This Row],[impressions]]=0,0,(Table2[[#This Row],[likes]]+Table2[[#This Row],[comments]]+Table2[[#This Row],[shares]])/Table2[[#This Row],[impressions]])</f>
        <v>3.9803155304675058E-3</v>
      </c>
      <c r="T50" s="27"/>
    </row>
    <row r="51" spans="1:20" ht="15.75">
      <c r="A51" s="23" t="s">
        <v>51</v>
      </c>
      <c r="B51" s="20" t="s">
        <v>43</v>
      </c>
      <c r="C51" s="20" t="s">
        <v>45</v>
      </c>
      <c r="D51" s="20" t="s">
        <v>46</v>
      </c>
      <c r="E51" s="20" t="s">
        <v>50</v>
      </c>
      <c r="F51" s="20">
        <v>57883</v>
      </c>
      <c r="G51" s="20">
        <v>510</v>
      </c>
      <c r="H51" s="20">
        <v>9</v>
      </c>
      <c r="I51" s="20">
        <v>8087.45</v>
      </c>
      <c r="J51" s="20">
        <v>13469.51</v>
      </c>
      <c r="K51" s="20">
        <v>249</v>
      </c>
      <c r="L51" s="20">
        <v>27</v>
      </c>
      <c r="M51" s="20">
        <v>10</v>
      </c>
      <c r="N51" s="29">
        <f>IF(Table2[[#This Row],[impressions]]=0,0,Table2[[#This Row],[spend_inr]]/Table2[[#This Row],[impressions]]*1000)</f>
        <v>139.72064336679162</v>
      </c>
      <c r="O51" s="31">
        <f>IF(Table2[[#This Row],[impressions]]=0,0,Table2[[#This Row],[clicks]]/Table2[[#This Row],[impressions]])</f>
        <v>8.8108771141786023E-3</v>
      </c>
      <c r="P51" s="32">
        <f>IF(Table2[[#This Row],[clicks]]=0,0,Table2[[#This Row],[spend_inr]]/Table2[[#This Row],[clicks]])</f>
        <v>15.857745098039215</v>
      </c>
      <c r="Q51" s="31">
        <f>IF(Table2[[#This Row],[clicks]]=0,0,Table2[[#This Row],[conversions]]/Table2[[#This Row],[clicks]])</f>
        <v>1.7647058823529412E-2</v>
      </c>
      <c r="R51" s="30">
        <f>IF(Table2[[#This Row],[spend_inr]]=0,0,(Table2[[#This Row],[revenue_inr]]-Table2[[#This Row],[spend_inr]])/Table2[[#This Row],[spend_inr]])</f>
        <v>0.66548293961631921</v>
      </c>
      <c r="S51" s="31">
        <f>IF(Table2[[#This Row],[impressions]]=0,0,(Table2[[#This Row],[likes]]+Table2[[#This Row],[comments]]+Table2[[#This Row],[shares]])/Table2[[#This Row],[impressions]])</f>
        <v>4.9410016757942743E-3</v>
      </c>
      <c r="T51" s="27"/>
    </row>
    <row r="52" spans="1:20" ht="15.75">
      <c r="A52" s="23" t="s">
        <v>42</v>
      </c>
      <c r="B52" s="20" t="s">
        <v>44</v>
      </c>
      <c r="C52" s="20" t="s">
        <v>39</v>
      </c>
      <c r="D52" s="20" t="s">
        <v>46</v>
      </c>
      <c r="E52" s="20" t="s">
        <v>41</v>
      </c>
      <c r="F52" s="20">
        <v>71168</v>
      </c>
      <c r="G52" s="20">
        <v>620</v>
      </c>
      <c r="H52" s="20">
        <v>12</v>
      </c>
      <c r="I52" s="20">
        <v>8058.87</v>
      </c>
      <c r="J52" s="20">
        <v>16962.98</v>
      </c>
      <c r="K52" s="20">
        <v>242</v>
      </c>
      <c r="L52" s="20">
        <v>15</v>
      </c>
      <c r="M52" s="20">
        <v>21</v>
      </c>
      <c r="N52" s="29">
        <f>IF(Table2[[#This Row],[impressions]]=0,0,Table2[[#This Row],[spend_inr]]/Table2[[#This Row],[impressions]]*1000)</f>
        <v>113.23726955935251</v>
      </c>
      <c r="O52" s="31">
        <f>IF(Table2[[#This Row],[impressions]]=0,0,Table2[[#This Row],[clicks]]/Table2[[#This Row],[impressions]])</f>
        <v>8.711780575539568E-3</v>
      </c>
      <c r="P52" s="32">
        <f>IF(Table2[[#This Row],[clicks]]=0,0,Table2[[#This Row],[spend_inr]]/Table2[[#This Row],[clicks]])</f>
        <v>12.998177419354839</v>
      </c>
      <c r="Q52" s="31">
        <f>IF(Table2[[#This Row],[clicks]]=0,0,Table2[[#This Row],[conversions]]/Table2[[#This Row],[clicks]])</f>
        <v>1.935483870967742E-2</v>
      </c>
      <c r="R52" s="30">
        <f>IF(Table2[[#This Row],[spend_inr]]=0,0,(Table2[[#This Row],[revenue_inr]]-Table2[[#This Row],[spend_inr]])/Table2[[#This Row],[spend_inr]])</f>
        <v>1.1048831908195567</v>
      </c>
      <c r="S52" s="31">
        <f>IF(Table2[[#This Row],[impressions]]=0,0,(Table2[[#This Row],[likes]]+Table2[[#This Row],[comments]]+Table2[[#This Row],[shares]])/Table2[[#This Row],[impressions]])</f>
        <v>3.90625E-3</v>
      </c>
      <c r="T52" s="27"/>
    </row>
    <row r="53" spans="1:20" ht="15.75">
      <c r="A53" s="23" t="s">
        <v>42</v>
      </c>
      <c r="B53" s="20" t="s">
        <v>44</v>
      </c>
      <c r="C53" s="20" t="s">
        <v>54</v>
      </c>
      <c r="D53" s="20" t="s">
        <v>46</v>
      </c>
      <c r="E53" s="20" t="s">
        <v>47</v>
      </c>
      <c r="F53" s="20">
        <v>76693</v>
      </c>
      <c r="G53" s="20">
        <v>783</v>
      </c>
      <c r="H53" s="20">
        <v>17</v>
      </c>
      <c r="I53" s="20">
        <v>7986.69</v>
      </c>
      <c r="J53" s="20">
        <v>20262.82</v>
      </c>
      <c r="K53" s="20">
        <v>255</v>
      </c>
      <c r="L53" s="20">
        <v>20</v>
      </c>
      <c r="M53" s="20">
        <v>17</v>
      </c>
      <c r="N53" s="29">
        <f>IF(Table2[[#This Row],[impressions]]=0,0,Table2[[#This Row],[spend_inr]]/Table2[[#This Row],[impressions]]*1000)</f>
        <v>104.13844809826189</v>
      </c>
      <c r="O53" s="31">
        <f>IF(Table2[[#This Row],[impressions]]=0,0,Table2[[#This Row],[clicks]]/Table2[[#This Row],[impressions]])</f>
        <v>1.0209536724342508E-2</v>
      </c>
      <c r="P53" s="32">
        <f>IF(Table2[[#This Row],[clicks]]=0,0,Table2[[#This Row],[spend_inr]]/Table2[[#This Row],[clicks]])</f>
        <v>10.200114942528735</v>
      </c>
      <c r="Q53" s="31">
        <f>IF(Table2[[#This Row],[clicks]]=0,0,Table2[[#This Row],[conversions]]/Table2[[#This Row],[clicks]])</f>
        <v>2.1711366538952746E-2</v>
      </c>
      <c r="R53" s="30">
        <f>IF(Table2[[#This Row],[spend_inr]]=0,0,(Table2[[#This Row],[revenue_inr]]-Table2[[#This Row],[spend_inr]])/Table2[[#This Row],[spend_inr]])</f>
        <v>1.5370735561290099</v>
      </c>
      <c r="S53" s="31">
        <f>IF(Table2[[#This Row],[impressions]]=0,0,(Table2[[#This Row],[likes]]+Table2[[#This Row],[comments]]+Table2[[#This Row],[shares]])/Table2[[#This Row],[impressions]])</f>
        <v>3.8073878972005267E-3</v>
      </c>
      <c r="T53" s="27"/>
    </row>
    <row r="54" spans="1:20" ht="15.75">
      <c r="A54" s="23" t="s">
        <v>51</v>
      </c>
      <c r="B54" s="20" t="s">
        <v>44</v>
      </c>
      <c r="C54" s="20" t="s">
        <v>45</v>
      </c>
      <c r="D54" s="20" t="s">
        <v>46</v>
      </c>
      <c r="E54" s="20" t="s">
        <v>50</v>
      </c>
      <c r="F54" s="20">
        <v>19179</v>
      </c>
      <c r="G54" s="20">
        <v>200</v>
      </c>
      <c r="H54" s="20">
        <v>3</v>
      </c>
      <c r="I54" s="20">
        <v>7968.52</v>
      </c>
      <c r="J54" s="20">
        <v>4251.17</v>
      </c>
      <c r="K54" s="20">
        <v>93</v>
      </c>
      <c r="L54" s="20">
        <v>4</v>
      </c>
      <c r="M54" s="20">
        <v>4</v>
      </c>
      <c r="N54" s="29">
        <f>IF(Table2[[#This Row],[impressions]]=0,0,Table2[[#This Row],[spend_inr]]/Table2[[#This Row],[impressions]]*1000)</f>
        <v>415.48151624172277</v>
      </c>
      <c r="O54" s="31">
        <f>IF(Table2[[#This Row],[impressions]]=0,0,Table2[[#This Row],[clicks]]/Table2[[#This Row],[impressions]])</f>
        <v>1.0428072370822253E-2</v>
      </c>
      <c r="P54" s="32">
        <f>IF(Table2[[#This Row],[clicks]]=0,0,Table2[[#This Row],[spend_inr]]/Table2[[#This Row],[clicks]])</f>
        <v>39.842600000000004</v>
      </c>
      <c r="Q54" s="31">
        <f>IF(Table2[[#This Row],[clicks]]=0,0,Table2[[#This Row],[conversions]]/Table2[[#This Row],[clicks]])</f>
        <v>1.4999999999999999E-2</v>
      </c>
      <c r="R54" s="30">
        <f>IF(Table2[[#This Row],[spend_inr]]=0,0,(Table2[[#This Row],[revenue_inr]]-Table2[[#This Row],[spend_inr]])/Table2[[#This Row],[spend_inr]])</f>
        <v>-0.46650444499103977</v>
      </c>
      <c r="S54" s="31">
        <f>IF(Table2[[#This Row],[impressions]]=0,0,(Table2[[#This Row],[likes]]+Table2[[#This Row],[comments]]+Table2[[#This Row],[shares]])/Table2[[#This Row],[impressions]])</f>
        <v>5.2661765472652384E-3</v>
      </c>
      <c r="T54" s="27"/>
    </row>
    <row r="55" spans="1:20" ht="15.75">
      <c r="A55" s="23" t="s">
        <v>42</v>
      </c>
      <c r="B55" s="20" t="s">
        <v>43</v>
      </c>
      <c r="C55" s="20" t="s">
        <v>55</v>
      </c>
      <c r="D55" s="20" t="s">
        <v>46</v>
      </c>
      <c r="E55" s="20" t="s">
        <v>41</v>
      </c>
      <c r="F55" s="20">
        <v>26830</v>
      </c>
      <c r="G55" s="20">
        <v>352</v>
      </c>
      <c r="H55" s="20">
        <v>6</v>
      </c>
      <c r="I55" s="20">
        <v>7952.58</v>
      </c>
      <c r="J55" s="20">
        <v>3361.24</v>
      </c>
      <c r="K55" s="20">
        <v>122</v>
      </c>
      <c r="L55" s="20">
        <v>15</v>
      </c>
      <c r="M55" s="20">
        <v>6</v>
      </c>
      <c r="N55" s="29">
        <f>IF(Table2[[#This Row],[impressions]]=0,0,Table2[[#This Row],[spend_inr]]/Table2[[#This Row],[impressions]]*1000)</f>
        <v>296.40626164740962</v>
      </c>
      <c r="O55" s="31">
        <f>IF(Table2[[#This Row],[impressions]]=0,0,Table2[[#This Row],[clicks]]/Table2[[#This Row],[impressions]])</f>
        <v>1.3119642191576594E-2</v>
      </c>
      <c r="P55" s="32">
        <f>IF(Table2[[#This Row],[clicks]]=0,0,Table2[[#This Row],[spend_inr]]/Table2[[#This Row],[clicks]])</f>
        <v>22.592556818181819</v>
      </c>
      <c r="Q55" s="31">
        <f>IF(Table2[[#This Row],[clicks]]=0,0,Table2[[#This Row],[conversions]]/Table2[[#This Row],[clicks]])</f>
        <v>1.7045454545454544E-2</v>
      </c>
      <c r="R55" s="30">
        <f>IF(Table2[[#This Row],[spend_inr]]=0,0,(Table2[[#This Row],[revenue_inr]]-Table2[[#This Row],[spend_inr]])/Table2[[#This Row],[spend_inr]])</f>
        <v>-0.57733968095888377</v>
      </c>
      <c r="S55" s="31">
        <f>IF(Table2[[#This Row],[impressions]]=0,0,(Table2[[#This Row],[likes]]+Table2[[#This Row],[comments]]+Table2[[#This Row],[shares]])/Table2[[#This Row],[impressions]])</f>
        <v>5.3298546403279913E-3</v>
      </c>
      <c r="T55" s="27"/>
    </row>
    <row r="56" spans="1:20" ht="15.75">
      <c r="A56" s="23" t="s">
        <v>37</v>
      </c>
      <c r="B56" s="20" t="s">
        <v>38</v>
      </c>
      <c r="C56" s="20" t="s">
        <v>39</v>
      </c>
      <c r="D56" s="20" t="s">
        <v>46</v>
      </c>
      <c r="E56" s="20" t="s">
        <v>50</v>
      </c>
      <c r="F56" s="20">
        <v>44519</v>
      </c>
      <c r="G56" s="20">
        <v>825</v>
      </c>
      <c r="H56" s="20">
        <v>19</v>
      </c>
      <c r="I56" s="20">
        <v>7929.83</v>
      </c>
      <c r="J56" s="20">
        <v>21827.07</v>
      </c>
      <c r="K56" s="20">
        <v>361</v>
      </c>
      <c r="L56" s="20">
        <v>48</v>
      </c>
      <c r="M56" s="20">
        <v>14</v>
      </c>
      <c r="N56" s="29">
        <f>IF(Table2[[#This Row],[impressions]]=0,0,Table2[[#This Row],[spend_inr]]/Table2[[#This Row],[impressions]]*1000)</f>
        <v>178.12237471641322</v>
      </c>
      <c r="O56" s="31">
        <f>IF(Table2[[#This Row],[impressions]]=0,0,Table2[[#This Row],[clicks]]/Table2[[#This Row],[impressions]])</f>
        <v>1.8531413553763563E-2</v>
      </c>
      <c r="P56" s="32">
        <f>IF(Table2[[#This Row],[clicks]]=0,0,Table2[[#This Row],[spend_inr]]/Table2[[#This Row],[clicks]])</f>
        <v>9.6119151515151522</v>
      </c>
      <c r="Q56" s="31">
        <f>IF(Table2[[#This Row],[clicks]]=0,0,Table2[[#This Row],[conversions]]/Table2[[#This Row],[clicks]])</f>
        <v>2.3030303030303029E-2</v>
      </c>
      <c r="R56" s="30">
        <f>IF(Table2[[#This Row],[spend_inr]]=0,0,(Table2[[#This Row],[revenue_inr]]-Table2[[#This Row],[spend_inr]])/Table2[[#This Row],[spend_inr]])</f>
        <v>1.7525268511430887</v>
      </c>
      <c r="S56" s="31">
        <f>IF(Table2[[#This Row],[impressions]]=0,0,(Table2[[#This Row],[likes]]+Table2[[#This Row],[comments]]+Table2[[#This Row],[shares]])/Table2[[#This Row],[impressions]])</f>
        <v>9.5015611312024087E-3</v>
      </c>
      <c r="T56" s="27"/>
    </row>
    <row r="57" spans="1:20" ht="15.75">
      <c r="A57" s="23" t="s">
        <v>42</v>
      </c>
      <c r="B57" s="20" t="s">
        <v>38</v>
      </c>
      <c r="C57" s="20" t="s">
        <v>45</v>
      </c>
      <c r="D57" s="20" t="s">
        <v>40</v>
      </c>
      <c r="E57" s="20" t="s">
        <v>41</v>
      </c>
      <c r="F57" s="20">
        <v>56766</v>
      </c>
      <c r="G57" s="20">
        <v>593</v>
      </c>
      <c r="H57" s="20">
        <v>21</v>
      </c>
      <c r="I57" s="20">
        <v>7899.2</v>
      </c>
      <c r="J57" s="20">
        <v>29739.15</v>
      </c>
      <c r="K57" s="20">
        <v>236</v>
      </c>
      <c r="L57" s="20">
        <v>22</v>
      </c>
      <c r="M57" s="20">
        <v>22</v>
      </c>
      <c r="N57" s="29">
        <f>IF(Table2[[#This Row],[impressions]]=0,0,Table2[[#This Row],[spend_inr]]/Table2[[#This Row],[impressions]]*1000)</f>
        <v>139.15371877532326</v>
      </c>
      <c r="O57" s="31">
        <f>IF(Table2[[#This Row],[impressions]]=0,0,Table2[[#This Row],[clicks]]/Table2[[#This Row],[impressions]])</f>
        <v>1.0446393968220414E-2</v>
      </c>
      <c r="P57" s="32">
        <f>IF(Table2[[#This Row],[clicks]]=0,0,Table2[[#This Row],[spend_inr]]/Table2[[#This Row],[clicks]])</f>
        <v>13.320741989881956</v>
      </c>
      <c r="Q57" s="31">
        <f>IF(Table2[[#This Row],[clicks]]=0,0,Table2[[#This Row],[conversions]]/Table2[[#This Row],[clicks]])</f>
        <v>3.5413153456998317E-2</v>
      </c>
      <c r="R57" s="30">
        <f>IF(Table2[[#This Row],[spend_inr]]=0,0,(Table2[[#This Row],[revenue_inr]]-Table2[[#This Row],[spend_inr]])/Table2[[#This Row],[spend_inr]])</f>
        <v>2.7648306157585578</v>
      </c>
      <c r="S57" s="31">
        <f>IF(Table2[[#This Row],[impressions]]=0,0,(Table2[[#This Row],[likes]]+Table2[[#This Row],[comments]]+Table2[[#This Row],[shares]])/Table2[[#This Row],[impressions]])</f>
        <v>4.9325300355846811E-3</v>
      </c>
      <c r="T57" s="27"/>
    </row>
    <row r="58" spans="1:20" ht="15.75">
      <c r="A58" s="23" t="s">
        <v>37</v>
      </c>
      <c r="B58" s="20" t="s">
        <v>44</v>
      </c>
      <c r="C58" s="20" t="s">
        <v>45</v>
      </c>
      <c r="D58" s="20" t="s">
        <v>46</v>
      </c>
      <c r="E58" s="20" t="s">
        <v>50</v>
      </c>
      <c r="F58" s="20">
        <v>47532</v>
      </c>
      <c r="G58" s="20">
        <v>886</v>
      </c>
      <c r="H58" s="20">
        <v>24</v>
      </c>
      <c r="I58" s="20">
        <v>7898.24</v>
      </c>
      <c r="J58" s="20">
        <v>14108.09</v>
      </c>
      <c r="K58" s="20">
        <v>327</v>
      </c>
      <c r="L58" s="20">
        <v>32</v>
      </c>
      <c r="M58" s="20">
        <v>30</v>
      </c>
      <c r="N58" s="29">
        <f>IF(Table2[[#This Row],[impressions]]=0,0,Table2[[#This Row],[spend_inr]]/Table2[[#This Row],[impressions]]*1000)</f>
        <v>166.16679289741649</v>
      </c>
      <c r="O58" s="31">
        <f>IF(Table2[[#This Row],[impressions]]=0,0,Table2[[#This Row],[clicks]]/Table2[[#This Row],[impressions]])</f>
        <v>1.8640074055373223E-2</v>
      </c>
      <c r="P58" s="32">
        <f>IF(Table2[[#This Row],[clicks]]=0,0,Table2[[#This Row],[spend_inr]]/Table2[[#This Row],[clicks]])</f>
        <v>8.9144920993227981</v>
      </c>
      <c r="Q58" s="31">
        <f>IF(Table2[[#This Row],[clicks]]=0,0,Table2[[#This Row],[conversions]]/Table2[[#This Row],[clicks]])</f>
        <v>2.7088036117381489E-2</v>
      </c>
      <c r="R58" s="30">
        <f>IF(Table2[[#This Row],[spend_inr]]=0,0,(Table2[[#This Row],[revenue_inr]]-Table2[[#This Row],[spend_inr]])/Table2[[#This Row],[spend_inr]])</f>
        <v>0.78623212259946529</v>
      </c>
      <c r="S58" s="31">
        <f>IF(Table2[[#This Row],[impressions]]=0,0,(Table2[[#This Row],[likes]]+Table2[[#This Row],[comments]]+Table2[[#This Row],[shares]])/Table2[[#This Row],[impressions]])</f>
        <v>8.1839602793907264E-3</v>
      </c>
      <c r="T58" s="27"/>
    </row>
    <row r="59" spans="1:20" ht="15.75">
      <c r="A59" s="23" t="s">
        <v>51</v>
      </c>
      <c r="B59" s="20" t="s">
        <v>48</v>
      </c>
      <c r="C59" s="20" t="s">
        <v>54</v>
      </c>
      <c r="D59" s="20" t="s">
        <v>46</v>
      </c>
      <c r="E59" s="20" t="s">
        <v>50</v>
      </c>
      <c r="F59" s="20">
        <v>61234</v>
      </c>
      <c r="G59" s="20">
        <v>526</v>
      </c>
      <c r="H59" s="20">
        <v>9</v>
      </c>
      <c r="I59" s="20">
        <v>7894.28</v>
      </c>
      <c r="J59" s="20">
        <v>6232.18</v>
      </c>
      <c r="K59" s="20">
        <v>256</v>
      </c>
      <c r="L59" s="20">
        <v>24</v>
      </c>
      <c r="M59" s="20">
        <v>5</v>
      </c>
      <c r="N59" s="29">
        <f>IF(Table2[[#This Row],[impressions]]=0,0,Table2[[#This Row],[spend_inr]]/Table2[[#This Row],[impressions]]*1000)</f>
        <v>128.91988111180063</v>
      </c>
      <c r="O59" s="31">
        <f>IF(Table2[[#This Row],[impressions]]=0,0,Table2[[#This Row],[clicks]]/Table2[[#This Row],[impressions]])</f>
        <v>8.5899990201522038E-3</v>
      </c>
      <c r="P59" s="32">
        <f>IF(Table2[[#This Row],[clicks]]=0,0,Table2[[#This Row],[spend_inr]]/Table2[[#This Row],[clicks]])</f>
        <v>15.008136882129277</v>
      </c>
      <c r="Q59" s="31">
        <f>IF(Table2[[#This Row],[clicks]]=0,0,Table2[[#This Row],[conversions]]/Table2[[#This Row],[clicks]])</f>
        <v>1.7110266159695818E-2</v>
      </c>
      <c r="R59" s="30">
        <f>IF(Table2[[#This Row],[spend_inr]]=0,0,(Table2[[#This Row],[revenue_inr]]-Table2[[#This Row],[spend_inr]])/Table2[[#This Row],[spend_inr]])</f>
        <v>-0.21054485019533123</v>
      </c>
      <c r="S59" s="31">
        <f>IF(Table2[[#This Row],[impressions]]=0,0,(Table2[[#This Row],[likes]]+Table2[[#This Row],[comments]]+Table2[[#This Row],[shares]])/Table2[[#This Row],[impressions]])</f>
        <v>4.6542770356337981E-3</v>
      </c>
      <c r="T59" s="27"/>
    </row>
    <row r="60" spans="1:20" ht="15.75">
      <c r="A60" s="23" t="s">
        <v>42</v>
      </c>
      <c r="B60" s="20" t="s">
        <v>43</v>
      </c>
      <c r="C60" s="20" t="s">
        <v>54</v>
      </c>
      <c r="D60" s="20" t="s">
        <v>46</v>
      </c>
      <c r="E60" s="20" t="s">
        <v>50</v>
      </c>
      <c r="F60" s="20">
        <v>54393</v>
      </c>
      <c r="G60" s="20">
        <v>425</v>
      </c>
      <c r="H60" s="20">
        <v>10</v>
      </c>
      <c r="I60" s="20">
        <v>7890.49</v>
      </c>
      <c r="J60" s="20">
        <v>13111.38</v>
      </c>
      <c r="K60" s="20">
        <v>173</v>
      </c>
      <c r="L60" s="20">
        <v>18</v>
      </c>
      <c r="M60" s="20">
        <v>10</v>
      </c>
      <c r="N60" s="29">
        <f>IF(Table2[[#This Row],[impressions]]=0,0,Table2[[#This Row],[spend_inr]]/Table2[[#This Row],[impressions]]*1000)</f>
        <v>145.06443843876968</v>
      </c>
      <c r="O60" s="31">
        <f>IF(Table2[[#This Row],[impressions]]=0,0,Table2[[#This Row],[clicks]]/Table2[[#This Row],[impressions]])</f>
        <v>7.8135054142996346E-3</v>
      </c>
      <c r="P60" s="32">
        <f>IF(Table2[[#This Row],[clicks]]=0,0,Table2[[#This Row],[spend_inr]]/Table2[[#This Row],[clicks]])</f>
        <v>18.56585882352941</v>
      </c>
      <c r="Q60" s="31">
        <f>IF(Table2[[#This Row],[clicks]]=0,0,Table2[[#This Row],[conversions]]/Table2[[#This Row],[clicks]])</f>
        <v>2.3529411764705882E-2</v>
      </c>
      <c r="R60" s="30">
        <f>IF(Table2[[#This Row],[spend_inr]]=0,0,(Table2[[#This Row],[revenue_inr]]-Table2[[#This Row],[spend_inr]])/Table2[[#This Row],[spend_inr]])</f>
        <v>0.66166866696491589</v>
      </c>
      <c r="S60" s="31">
        <f>IF(Table2[[#This Row],[impressions]]=0,0,(Table2[[#This Row],[likes]]+Table2[[#This Row],[comments]]+Table2[[#This Row],[shares]])/Table2[[#This Row],[impressions]])</f>
        <v>3.6953284429981797E-3</v>
      </c>
      <c r="T60" s="27"/>
    </row>
    <row r="61" spans="1:20" ht="15.75">
      <c r="A61" s="23" t="s">
        <v>42</v>
      </c>
      <c r="B61" s="20" t="s">
        <v>44</v>
      </c>
      <c r="C61" s="20" t="s">
        <v>55</v>
      </c>
      <c r="D61" s="20" t="s">
        <v>46</v>
      </c>
      <c r="E61" s="20" t="s">
        <v>47</v>
      </c>
      <c r="F61" s="20">
        <v>39270</v>
      </c>
      <c r="G61" s="20">
        <v>218</v>
      </c>
      <c r="H61" s="20">
        <v>5</v>
      </c>
      <c r="I61" s="20">
        <v>7870.04</v>
      </c>
      <c r="J61" s="20">
        <v>5577.51</v>
      </c>
      <c r="K61" s="20">
        <v>104</v>
      </c>
      <c r="L61" s="20">
        <v>8</v>
      </c>
      <c r="M61" s="20">
        <v>6</v>
      </c>
      <c r="N61" s="29">
        <f>IF(Table2[[#This Row],[impressions]]=0,0,Table2[[#This Row],[spend_inr]]/Table2[[#This Row],[impressions]]*1000)</f>
        <v>200.40845429080721</v>
      </c>
      <c r="O61" s="31">
        <f>IF(Table2[[#This Row],[impressions]]=0,0,Table2[[#This Row],[clicks]]/Table2[[#This Row],[impressions]])</f>
        <v>5.551311433664375E-3</v>
      </c>
      <c r="P61" s="32">
        <f>IF(Table2[[#This Row],[clicks]]=0,0,Table2[[#This Row],[spend_inr]]/Table2[[#This Row],[clicks]])</f>
        <v>36.101100917431189</v>
      </c>
      <c r="Q61" s="31">
        <f>IF(Table2[[#This Row],[clicks]]=0,0,Table2[[#This Row],[conversions]]/Table2[[#This Row],[clicks]])</f>
        <v>2.2935779816513763E-2</v>
      </c>
      <c r="R61" s="30">
        <f>IF(Table2[[#This Row],[spend_inr]]=0,0,(Table2[[#This Row],[revenue_inr]]-Table2[[#This Row],[spend_inr]])/Table2[[#This Row],[spend_inr]])</f>
        <v>-0.29129839238428262</v>
      </c>
      <c r="S61" s="31">
        <f>IF(Table2[[#This Row],[impressions]]=0,0,(Table2[[#This Row],[likes]]+Table2[[#This Row],[comments]]+Table2[[#This Row],[shares]])/Table2[[#This Row],[impressions]])</f>
        <v>3.0048382989559461E-3</v>
      </c>
      <c r="T61" s="27"/>
    </row>
    <row r="62" spans="1:20" ht="15.75">
      <c r="A62" s="23" t="s">
        <v>52</v>
      </c>
      <c r="B62" s="20" t="s">
        <v>38</v>
      </c>
      <c r="C62" s="20" t="s">
        <v>54</v>
      </c>
      <c r="D62" s="20" t="s">
        <v>40</v>
      </c>
      <c r="E62" s="20" t="s">
        <v>56</v>
      </c>
      <c r="F62" s="20">
        <v>48834</v>
      </c>
      <c r="G62" s="20">
        <v>1921</v>
      </c>
      <c r="H62" s="20">
        <v>0</v>
      </c>
      <c r="I62" s="20">
        <v>7867.83</v>
      </c>
      <c r="J62" s="20">
        <v>102486.7</v>
      </c>
      <c r="K62" s="20">
        <v>0</v>
      </c>
      <c r="L62" s="20">
        <v>0</v>
      </c>
      <c r="M62" s="20">
        <v>0</v>
      </c>
      <c r="N62" s="29">
        <f>IF(Table2[[#This Row],[impressions]]=0,0,Table2[[#This Row],[spend_inr]]/Table2[[#This Row],[impressions]]*1000)</f>
        <v>161.1137731908097</v>
      </c>
      <c r="O62" s="31">
        <f>IF(Table2[[#This Row],[impressions]]=0,0,Table2[[#This Row],[clicks]]/Table2[[#This Row],[impressions]])</f>
        <v>3.9337346930417336E-2</v>
      </c>
      <c r="P62" s="32">
        <f>IF(Table2[[#This Row],[clicks]]=0,0,Table2[[#This Row],[spend_inr]]/Table2[[#This Row],[clicks]])</f>
        <v>4.0956949505465907</v>
      </c>
      <c r="Q62" s="31">
        <f>IF(Table2[[#This Row],[clicks]]=0,0,Table2[[#This Row],[conversions]]/Table2[[#This Row],[clicks]])</f>
        <v>0</v>
      </c>
      <c r="R62" s="30">
        <f>IF(Table2[[#This Row],[spend_inr]]=0,0,(Table2[[#This Row],[revenue_inr]]-Table2[[#This Row],[spend_inr]])/Table2[[#This Row],[spend_inr]])</f>
        <v>12.026044029929471</v>
      </c>
      <c r="S62" s="31">
        <f>IF(Table2[[#This Row],[impressions]]=0,0,(Table2[[#This Row],[likes]]+Table2[[#This Row],[comments]]+Table2[[#This Row],[shares]])/Table2[[#This Row],[impressions]])</f>
        <v>0</v>
      </c>
      <c r="T62" s="27"/>
    </row>
    <row r="63" spans="1:20" ht="15.75">
      <c r="A63" s="23" t="s">
        <v>37</v>
      </c>
      <c r="B63" s="20" t="s">
        <v>43</v>
      </c>
      <c r="C63" s="20" t="s">
        <v>49</v>
      </c>
      <c r="D63" s="20" t="s">
        <v>46</v>
      </c>
      <c r="E63" s="20" t="s">
        <v>47</v>
      </c>
      <c r="F63" s="20">
        <v>50081</v>
      </c>
      <c r="G63" s="20">
        <v>702</v>
      </c>
      <c r="H63" s="20">
        <v>15</v>
      </c>
      <c r="I63" s="20">
        <v>7824.59</v>
      </c>
      <c r="J63" s="20">
        <v>14693.23</v>
      </c>
      <c r="K63" s="20">
        <v>214</v>
      </c>
      <c r="L63" s="20">
        <v>14</v>
      </c>
      <c r="M63" s="20">
        <v>14</v>
      </c>
      <c r="N63" s="29">
        <f>IF(Table2[[#This Row],[impressions]]=0,0,Table2[[#This Row],[spend_inr]]/Table2[[#This Row],[impressions]]*1000)</f>
        <v>156.23869331682675</v>
      </c>
      <c r="O63" s="31">
        <f>IF(Table2[[#This Row],[impressions]]=0,0,Table2[[#This Row],[clicks]]/Table2[[#This Row],[impressions]])</f>
        <v>1.401729198698109E-2</v>
      </c>
      <c r="P63" s="32">
        <f>IF(Table2[[#This Row],[clicks]]=0,0,Table2[[#This Row],[spend_inr]]/Table2[[#This Row],[clicks]])</f>
        <v>11.146139601139602</v>
      </c>
      <c r="Q63" s="31">
        <f>IF(Table2[[#This Row],[clicks]]=0,0,Table2[[#This Row],[conversions]]/Table2[[#This Row],[clicks]])</f>
        <v>2.1367521367521368E-2</v>
      </c>
      <c r="R63" s="30">
        <f>IF(Table2[[#This Row],[spend_inr]]=0,0,(Table2[[#This Row],[revenue_inr]]-Table2[[#This Row],[spend_inr]])/Table2[[#This Row],[spend_inr]])</f>
        <v>0.87782746444222626</v>
      </c>
      <c r="S63" s="31">
        <f>IF(Table2[[#This Row],[impressions]]=0,0,(Table2[[#This Row],[likes]]+Table2[[#This Row],[comments]]+Table2[[#This Row],[shares]])/Table2[[#This Row],[impressions]])</f>
        <v>4.8321718815518859E-3</v>
      </c>
      <c r="T63" s="27"/>
    </row>
    <row r="64" spans="1:20" ht="15.75">
      <c r="A64" s="23" t="s">
        <v>51</v>
      </c>
      <c r="B64" s="20" t="s">
        <v>43</v>
      </c>
      <c r="C64" s="20" t="s">
        <v>55</v>
      </c>
      <c r="D64" s="20" t="s">
        <v>46</v>
      </c>
      <c r="E64" s="20" t="s">
        <v>50</v>
      </c>
      <c r="F64" s="20">
        <v>55657</v>
      </c>
      <c r="G64" s="20">
        <v>723</v>
      </c>
      <c r="H64" s="20">
        <v>8</v>
      </c>
      <c r="I64" s="20">
        <v>7771.98</v>
      </c>
      <c r="J64" s="20">
        <v>11548.84</v>
      </c>
      <c r="K64" s="20">
        <v>236</v>
      </c>
      <c r="L64" s="20">
        <v>28</v>
      </c>
      <c r="M64" s="20">
        <v>21</v>
      </c>
      <c r="N64" s="29">
        <f>IF(Table2[[#This Row],[impressions]]=0,0,Table2[[#This Row],[spend_inr]]/Table2[[#This Row],[impressions]]*1000)</f>
        <v>139.64065616184845</v>
      </c>
      <c r="O64" s="31">
        <f>IF(Table2[[#This Row],[impressions]]=0,0,Table2[[#This Row],[clicks]]/Table2[[#This Row],[impressions]])</f>
        <v>1.2990279749178001E-2</v>
      </c>
      <c r="P64" s="32">
        <f>IF(Table2[[#This Row],[clicks]]=0,0,Table2[[#This Row],[spend_inr]]/Table2[[#This Row],[clicks]])</f>
        <v>10.749626556016597</v>
      </c>
      <c r="Q64" s="31">
        <f>IF(Table2[[#This Row],[clicks]]=0,0,Table2[[#This Row],[conversions]]/Table2[[#This Row],[clicks]])</f>
        <v>1.1065006915629323E-2</v>
      </c>
      <c r="R64" s="30">
        <f>IF(Table2[[#This Row],[spend_inr]]=0,0,(Table2[[#This Row],[revenue_inr]]-Table2[[#This Row],[spend_inr]])/Table2[[#This Row],[spend_inr]])</f>
        <v>0.48595853308938014</v>
      </c>
      <c r="S64" s="31">
        <f>IF(Table2[[#This Row],[impressions]]=0,0,(Table2[[#This Row],[likes]]+Table2[[#This Row],[comments]]+Table2[[#This Row],[shares]])/Table2[[#This Row],[impressions]])</f>
        <v>5.1206496936593779E-3</v>
      </c>
      <c r="T64" s="27"/>
    </row>
    <row r="65" spans="1:20" ht="15.75">
      <c r="A65" s="23" t="s">
        <v>37</v>
      </c>
      <c r="B65" s="20" t="s">
        <v>43</v>
      </c>
      <c r="C65" s="20" t="s">
        <v>54</v>
      </c>
      <c r="D65" s="20" t="s">
        <v>40</v>
      </c>
      <c r="E65" s="20" t="s">
        <v>47</v>
      </c>
      <c r="F65" s="20">
        <v>71003</v>
      </c>
      <c r="G65" s="20">
        <v>1020</v>
      </c>
      <c r="H65" s="20">
        <v>25</v>
      </c>
      <c r="I65" s="20">
        <v>7744.28</v>
      </c>
      <c r="J65" s="20">
        <v>16664.330000000002</v>
      </c>
      <c r="K65" s="20">
        <v>492</v>
      </c>
      <c r="L65" s="20">
        <v>40</v>
      </c>
      <c r="M65" s="20">
        <v>21</v>
      </c>
      <c r="N65" s="29">
        <f>IF(Table2[[#This Row],[impressions]]=0,0,Table2[[#This Row],[spend_inr]]/Table2[[#This Row],[impressions]]*1000)</f>
        <v>109.06975761587537</v>
      </c>
      <c r="O65" s="31">
        <f>IF(Table2[[#This Row],[impressions]]=0,0,Table2[[#This Row],[clicks]]/Table2[[#This Row],[impressions]])</f>
        <v>1.4365590186330155E-2</v>
      </c>
      <c r="P65" s="32">
        <f>IF(Table2[[#This Row],[clicks]]=0,0,Table2[[#This Row],[spend_inr]]/Table2[[#This Row],[clicks]])</f>
        <v>7.5924313725490196</v>
      </c>
      <c r="Q65" s="31">
        <f>IF(Table2[[#This Row],[clicks]]=0,0,Table2[[#This Row],[conversions]]/Table2[[#This Row],[clicks]])</f>
        <v>2.4509803921568627E-2</v>
      </c>
      <c r="R65" s="30">
        <f>IF(Table2[[#This Row],[spend_inr]]=0,0,(Table2[[#This Row],[revenue_inr]]-Table2[[#This Row],[spend_inr]])/Table2[[#This Row],[spend_inr]])</f>
        <v>1.1518243142035158</v>
      </c>
      <c r="S65" s="31">
        <f>IF(Table2[[#This Row],[impressions]]=0,0,(Table2[[#This Row],[likes]]+Table2[[#This Row],[comments]]+Table2[[#This Row],[shares]])/Table2[[#This Row],[impressions]])</f>
        <v>7.7884033069025253E-3</v>
      </c>
      <c r="T65" s="27"/>
    </row>
    <row r="66" spans="1:20" ht="15.75">
      <c r="A66" s="23" t="s">
        <v>51</v>
      </c>
      <c r="B66" s="20" t="s">
        <v>38</v>
      </c>
      <c r="C66" s="20" t="s">
        <v>49</v>
      </c>
      <c r="D66" s="20" t="s">
        <v>40</v>
      </c>
      <c r="E66" s="20" t="s">
        <v>50</v>
      </c>
      <c r="F66" s="20">
        <v>28973</v>
      </c>
      <c r="G66" s="20">
        <v>184</v>
      </c>
      <c r="H66" s="20">
        <v>3</v>
      </c>
      <c r="I66" s="20">
        <v>7686.34</v>
      </c>
      <c r="J66" s="20">
        <v>1854.62</v>
      </c>
      <c r="K66" s="20">
        <v>83</v>
      </c>
      <c r="L66" s="20">
        <v>4</v>
      </c>
      <c r="M66" s="20">
        <v>3</v>
      </c>
      <c r="N66" s="29">
        <f>IF(Table2[[#This Row],[impressions]]=0,0,Table2[[#This Row],[spend_inr]]/Table2[[#This Row],[impressions]]*1000)</f>
        <v>265.29320401753358</v>
      </c>
      <c r="O66" s="31">
        <f>IF(Table2[[#This Row],[impressions]]=0,0,Table2[[#This Row],[clicks]]/Table2[[#This Row],[impressions]])</f>
        <v>6.350740344458634E-3</v>
      </c>
      <c r="P66" s="32">
        <f>IF(Table2[[#This Row],[clicks]]=0,0,Table2[[#This Row],[spend_inr]]/Table2[[#This Row],[clicks]])</f>
        <v>41.77358695652174</v>
      </c>
      <c r="Q66" s="31">
        <f>IF(Table2[[#This Row],[clicks]]=0,0,Table2[[#This Row],[conversions]]/Table2[[#This Row],[clicks]])</f>
        <v>1.6304347826086956E-2</v>
      </c>
      <c r="R66" s="30">
        <f>IF(Table2[[#This Row],[spend_inr]]=0,0,(Table2[[#This Row],[revenue_inr]]-Table2[[#This Row],[spend_inr]])/Table2[[#This Row],[spend_inr]])</f>
        <v>-0.75871220893168922</v>
      </c>
      <c r="S66" s="31">
        <f>IF(Table2[[#This Row],[impressions]]=0,0,(Table2[[#This Row],[likes]]+Table2[[#This Row],[comments]]+Table2[[#This Row],[shares]])/Table2[[#This Row],[impressions]])</f>
        <v>3.1063403858765056E-3</v>
      </c>
      <c r="T66" s="27"/>
    </row>
    <row r="67" spans="1:20" ht="15.75">
      <c r="A67" s="23" t="s">
        <v>52</v>
      </c>
      <c r="B67" s="20" t="s">
        <v>48</v>
      </c>
      <c r="C67" s="20" t="s">
        <v>45</v>
      </c>
      <c r="D67" s="20" t="s">
        <v>40</v>
      </c>
      <c r="E67" s="20" t="s">
        <v>53</v>
      </c>
      <c r="F67" s="20">
        <v>22595</v>
      </c>
      <c r="G67" s="20">
        <v>608</v>
      </c>
      <c r="H67" s="20">
        <v>33</v>
      </c>
      <c r="I67" s="20">
        <v>7683.3</v>
      </c>
      <c r="J67" s="20">
        <v>35066.769999999997</v>
      </c>
      <c r="K67" s="20">
        <v>0</v>
      </c>
      <c r="L67" s="20">
        <v>0</v>
      </c>
      <c r="M67" s="20">
        <v>0</v>
      </c>
      <c r="N67" s="29">
        <f>IF(Table2[[#This Row],[impressions]]=0,0,Table2[[#This Row],[spend_inr]]/Table2[[#This Row],[impressions]]*1000)</f>
        <v>340.04425757911042</v>
      </c>
      <c r="O67" s="31">
        <f>IF(Table2[[#This Row],[impressions]]=0,0,Table2[[#This Row],[clicks]]/Table2[[#This Row],[impressions]])</f>
        <v>2.6908608099136977E-2</v>
      </c>
      <c r="P67" s="32">
        <f>IF(Table2[[#This Row],[clicks]]=0,0,Table2[[#This Row],[spend_inr]]/Table2[[#This Row],[clicks]])</f>
        <v>12.63700657894737</v>
      </c>
      <c r="Q67" s="31">
        <f>IF(Table2[[#This Row],[clicks]]=0,0,Table2[[#This Row],[conversions]]/Table2[[#This Row],[clicks]])</f>
        <v>5.4276315789473686E-2</v>
      </c>
      <c r="R67" s="30">
        <f>IF(Table2[[#This Row],[spend_inr]]=0,0,(Table2[[#This Row],[revenue_inr]]-Table2[[#This Row],[spend_inr]])/Table2[[#This Row],[spend_inr]])</f>
        <v>3.5640245727747186</v>
      </c>
      <c r="S67" s="31">
        <f>IF(Table2[[#This Row],[impressions]]=0,0,(Table2[[#This Row],[likes]]+Table2[[#This Row],[comments]]+Table2[[#This Row],[shares]])/Table2[[#This Row],[impressions]])</f>
        <v>0</v>
      </c>
      <c r="T67" s="27"/>
    </row>
    <row r="68" spans="1:20" ht="15.75">
      <c r="A68" s="23" t="s">
        <v>51</v>
      </c>
      <c r="B68" s="20" t="s">
        <v>43</v>
      </c>
      <c r="C68" s="20" t="s">
        <v>39</v>
      </c>
      <c r="D68" s="20" t="s">
        <v>40</v>
      </c>
      <c r="E68" s="20" t="s">
        <v>50</v>
      </c>
      <c r="F68" s="20">
        <v>13641</v>
      </c>
      <c r="G68" s="20">
        <v>71</v>
      </c>
      <c r="H68" s="20">
        <v>0</v>
      </c>
      <c r="I68" s="20">
        <v>7665.57</v>
      </c>
      <c r="J68" s="20">
        <v>0</v>
      </c>
      <c r="K68" s="20">
        <v>30</v>
      </c>
      <c r="L68" s="20">
        <v>1</v>
      </c>
      <c r="M68" s="20">
        <v>1</v>
      </c>
      <c r="N68" s="29">
        <f>IF(Table2[[#This Row],[impressions]]=0,0,Table2[[#This Row],[spend_inr]]/Table2[[#This Row],[impressions]]*1000)</f>
        <v>561.95073674950515</v>
      </c>
      <c r="O68" s="31">
        <f>IF(Table2[[#This Row],[impressions]]=0,0,Table2[[#This Row],[clicks]]/Table2[[#This Row],[impressions]])</f>
        <v>5.2048970016860931E-3</v>
      </c>
      <c r="P68" s="32">
        <f>IF(Table2[[#This Row],[clicks]]=0,0,Table2[[#This Row],[spend_inr]]/Table2[[#This Row],[clicks]])</f>
        <v>107.96577464788732</v>
      </c>
      <c r="Q68" s="31">
        <f>IF(Table2[[#This Row],[clicks]]=0,0,Table2[[#This Row],[conversions]]/Table2[[#This Row],[clicks]])</f>
        <v>0</v>
      </c>
      <c r="R68" s="30">
        <f>IF(Table2[[#This Row],[spend_inr]]=0,0,(Table2[[#This Row],[revenue_inr]]-Table2[[#This Row],[spend_inr]])/Table2[[#This Row],[spend_inr]])</f>
        <v>-1</v>
      </c>
      <c r="S68" s="31">
        <f>IF(Table2[[#This Row],[impressions]]=0,0,(Table2[[#This Row],[likes]]+Table2[[#This Row],[comments]]+Table2[[#This Row],[shares]])/Table2[[#This Row],[impressions]])</f>
        <v>2.3458690711824644E-3</v>
      </c>
      <c r="T68" s="27"/>
    </row>
    <row r="69" spans="1:20" ht="15.75">
      <c r="A69" s="23" t="s">
        <v>42</v>
      </c>
      <c r="B69" s="20" t="s">
        <v>48</v>
      </c>
      <c r="C69" s="20" t="s">
        <v>55</v>
      </c>
      <c r="D69" s="20" t="s">
        <v>40</v>
      </c>
      <c r="E69" s="20" t="s">
        <v>41</v>
      </c>
      <c r="F69" s="20">
        <v>54994</v>
      </c>
      <c r="G69" s="20">
        <v>554</v>
      </c>
      <c r="H69" s="20">
        <v>5</v>
      </c>
      <c r="I69" s="20">
        <v>7645.86</v>
      </c>
      <c r="J69" s="20">
        <v>5434.65</v>
      </c>
      <c r="K69" s="20">
        <v>269</v>
      </c>
      <c r="L69" s="20">
        <v>27</v>
      </c>
      <c r="M69" s="20">
        <v>17</v>
      </c>
      <c r="N69" s="29">
        <f>IF(Table2[[#This Row],[impressions]]=0,0,Table2[[#This Row],[spend_inr]]/Table2[[#This Row],[impressions]]*1000)</f>
        <v>139.03080336036658</v>
      </c>
      <c r="O69" s="31">
        <f>IF(Table2[[#This Row],[impressions]]=0,0,Table2[[#This Row],[clicks]]/Table2[[#This Row],[impressions]])</f>
        <v>1.0073826235589337E-2</v>
      </c>
      <c r="P69" s="32">
        <f>IF(Table2[[#This Row],[clicks]]=0,0,Table2[[#This Row],[spend_inr]]/Table2[[#This Row],[clicks]])</f>
        <v>13.801191335740072</v>
      </c>
      <c r="Q69" s="31">
        <f>IF(Table2[[#This Row],[clicks]]=0,0,Table2[[#This Row],[conversions]]/Table2[[#This Row],[clicks]])</f>
        <v>9.0252707581227436E-3</v>
      </c>
      <c r="R69" s="30">
        <f>IF(Table2[[#This Row],[spend_inr]]=0,0,(Table2[[#This Row],[revenue_inr]]-Table2[[#This Row],[spend_inr]])/Table2[[#This Row],[spend_inr]])</f>
        <v>-0.2892035689902771</v>
      </c>
      <c r="S69" s="31">
        <f>IF(Table2[[#This Row],[impressions]]=0,0,(Table2[[#This Row],[likes]]+Table2[[#This Row],[comments]]+Table2[[#This Row],[shares]])/Table2[[#This Row],[impressions]])</f>
        <v>5.6915299850892826E-3</v>
      </c>
      <c r="T69" s="27"/>
    </row>
    <row r="70" spans="1:20" ht="15.75">
      <c r="A70" s="23" t="s">
        <v>51</v>
      </c>
      <c r="B70" s="20" t="s">
        <v>43</v>
      </c>
      <c r="C70" s="20" t="s">
        <v>39</v>
      </c>
      <c r="D70" s="20" t="s">
        <v>40</v>
      </c>
      <c r="E70" s="20" t="s">
        <v>50</v>
      </c>
      <c r="F70" s="20">
        <v>39235</v>
      </c>
      <c r="G70" s="20">
        <v>392</v>
      </c>
      <c r="H70" s="20">
        <v>7</v>
      </c>
      <c r="I70" s="20">
        <v>7640.02</v>
      </c>
      <c r="J70" s="20">
        <v>8400.59</v>
      </c>
      <c r="K70" s="20">
        <v>123</v>
      </c>
      <c r="L70" s="20">
        <v>21</v>
      </c>
      <c r="M70" s="20">
        <v>13</v>
      </c>
      <c r="N70" s="29">
        <f>IF(Table2[[#This Row],[impressions]]=0,0,Table2[[#This Row],[spend_inr]]/Table2[[#This Row],[impressions]]*1000)</f>
        <v>194.72460813049574</v>
      </c>
      <c r="O70" s="31">
        <f>IF(Table2[[#This Row],[impressions]]=0,0,Table2[[#This Row],[clicks]]/Table2[[#This Row],[impressions]])</f>
        <v>9.991079393398751E-3</v>
      </c>
      <c r="P70" s="32">
        <f>IF(Table2[[#This Row],[clicks]]=0,0,Table2[[#This Row],[spend_inr]]/Table2[[#This Row],[clicks]])</f>
        <v>19.489846938775511</v>
      </c>
      <c r="Q70" s="31">
        <f>IF(Table2[[#This Row],[clicks]]=0,0,Table2[[#This Row],[conversions]]/Table2[[#This Row],[clicks]])</f>
        <v>1.7857142857142856E-2</v>
      </c>
      <c r="R70" s="30">
        <f>IF(Table2[[#This Row],[spend_inr]]=0,0,(Table2[[#This Row],[revenue_inr]]-Table2[[#This Row],[spend_inr]])/Table2[[#This Row],[spend_inr]])</f>
        <v>9.9550786516265616E-2</v>
      </c>
      <c r="S70" s="31">
        <f>IF(Table2[[#This Row],[impressions]]=0,0,(Table2[[#This Row],[likes]]+Table2[[#This Row],[comments]]+Table2[[#This Row],[shares]])/Table2[[#This Row],[impressions]])</f>
        <v>4.0015292468459284E-3</v>
      </c>
      <c r="T70" s="27"/>
    </row>
    <row r="71" spans="1:20" ht="15.75">
      <c r="A71" s="23" t="s">
        <v>51</v>
      </c>
      <c r="B71" s="20" t="s">
        <v>44</v>
      </c>
      <c r="C71" s="20" t="s">
        <v>39</v>
      </c>
      <c r="D71" s="20" t="s">
        <v>46</v>
      </c>
      <c r="E71" s="20" t="s">
        <v>50</v>
      </c>
      <c r="F71" s="20">
        <v>27429</v>
      </c>
      <c r="G71" s="20">
        <v>347</v>
      </c>
      <c r="H71" s="20">
        <v>0</v>
      </c>
      <c r="I71" s="20">
        <v>7636.56</v>
      </c>
      <c r="J71" s="20">
        <v>4915.42</v>
      </c>
      <c r="K71" s="20">
        <v>110</v>
      </c>
      <c r="L71" s="20">
        <v>11</v>
      </c>
      <c r="M71" s="20">
        <v>4</v>
      </c>
      <c r="N71" s="29">
        <f>IF(Table2[[#This Row],[impressions]]=0,0,Table2[[#This Row],[spend_inr]]/Table2[[#This Row],[impressions]]*1000)</f>
        <v>278.41189981406546</v>
      </c>
      <c r="O71" s="31">
        <f>IF(Table2[[#This Row],[impressions]]=0,0,Table2[[#This Row],[clicks]]/Table2[[#This Row],[impressions]])</f>
        <v>1.2650843997229211E-2</v>
      </c>
      <c r="P71" s="32">
        <f>IF(Table2[[#This Row],[clicks]]=0,0,Table2[[#This Row],[spend_inr]]/Table2[[#This Row],[clicks]])</f>
        <v>22.007377521613833</v>
      </c>
      <c r="Q71" s="31">
        <f>IF(Table2[[#This Row],[clicks]]=0,0,Table2[[#This Row],[conversions]]/Table2[[#This Row],[clicks]])</f>
        <v>0</v>
      </c>
      <c r="R71" s="30">
        <f>IF(Table2[[#This Row],[spend_inr]]=0,0,(Table2[[#This Row],[revenue_inr]]-Table2[[#This Row],[spend_inr]])/Table2[[#This Row],[spend_inr]])</f>
        <v>-0.35633059911792747</v>
      </c>
      <c r="S71" s="31">
        <f>IF(Table2[[#This Row],[impressions]]=0,0,(Table2[[#This Row],[likes]]+Table2[[#This Row],[comments]]+Table2[[#This Row],[shares]])/Table2[[#This Row],[impressions]])</f>
        <v>4.5572204600969777E-3</v>
      </c>
      <c r="T71" s="27"/>
    </row>
    <row r="72" spans="1:20" ht="15.75">
      <c r="A72" s="23" t="s">
        <v>51</v>
      </c>
      <c r="B72" s="20" t="s">
        <v>38</v>
      </c>
      <c r="C72" s="20" t="s">
        <v>54</v>
      </c>
      <c r="D72" s="20" t="s">
        <v>40</v>
      </c>
      <c r="E72" s="20" t="s">
        <v>50</v>
      </c>
      <c r="F72" s="20">
        <v>17419</v>
      </c>
      <c r="G72" s="20">
        <v>127</v>
      </c>
      <c r="H72" s="20">
        <v>1</v>
      </c>
      <c r="I72" s="20">
        <v>7630.68</v>
      </c>
      <c r="J72" s="20">
        <v>519.73</v>
      </c>
      <c r="K72" s="20">
        <v>56</v>
      </c>
      <c r="L72" s="20">
        <v>2</v>
      </c>
      <c r="M72" s="20">
        <v>2</v>
      </c>
      <c r="N72" s="29">
        <f>IF(Table2[[#This Row],[impressions]]=0,0,Table2[[#This Row],[spend_inr]]/Table2[[#This Row],[impressions]]*1000)</f>
        <v>438.06647913198231</v>
      </c>
      <c r="O72" s="31">
        <f>IF(Table2[[#This Row],[impressions]]=0,0,Table2[[#This Row],[clicks]]/Table2[[#This Row],[impressions]])</f>
        <v>7.2908892588552732E-3</v>
      </c>
      <c r="P72" s="32">
        <f>IF(Table2[[#This Row],[clicks]]=0,0,Table2[[#This Row],[spend_inr]]/Table2[[#This Row],[clicks]])</f>
        <v>60.084094488188981</v>
      </c>
      <c r="Q72" s="31">
        <f>IF(Table2[[#This Row],[clicks]]=0,0,Table2[[#This Row],[conversions]]/Table2[[#This Row],[clicks]])</f>
        <v>7.874015748031496E-3</v>
      </c>
      <c r="R72" s="30">
        <f>IF(Table2[[#This Row],[spend_inr]]=0,0,(Table2[[#This Row],[revenue_inr]]-Table2[[#This Row],[spend_inr]])/Table2[[#This Row],[spend_inr]])</f>
        <v>-0.93188942531989294</v>
      </c>
      <c r="S72" s="31">
        <f>IF(Table2[[#This Row],[impressions]]=0,0,(Table2[[#This Row],[likes]]+Table2[[#This Row],[comments]]+Table2[[#This Row],[shares]])/Table2[[#This Row],[impressions]])</f>
        <v>3.4445146104828063E-3</v>
      </c>
      <c r="T72" s="27"/>
    </row>
    <row r="73" spans="1:20" ht="15.75">
      <c r="A73" s="23" t="s">
        <v>52</v>
      </c>
      <c r="B73" s="20" t="s">
        <v>48</v>
      </c>
      <c r="C73" s="20" t="s">
        <v>39</v>
      </c>
      <c r="D73" s="20" t="s">
        <v>40</v>
      </c>
      <c r="E73" s="20" t="s">
        <v>56</v>
      </c>
      <c r="F73" s="20">
        <v>74084</v>
      </c>
      <c r="G73" s="20">
        <v>2489</v>
      </c>
      <c r="H73" s="20">
        <v>114</v>
      </c>
      <c r="I73" s="20">
        <v>7621.81</v>
      </c>
      <c r="J73" s="20">
        <v>83266.78</v>
      </c>
      <c r="K73" s="20">
        <v>0</v>
      </c>
      <c r="L73" s="20">
        <v>0</v>
      </c>
      <c r="M73" s="20">
        <v>0</v>
      </c>
      <c r="N73" s="29">
        <f>IF(Table2[[#This Row],[impressions]]=0,0,Table2[[#This Row],[spend_inr]]/Table2[[#This Row],[impressions]]*1000)</f>
        <v>102.88064899303494</v>
      </c>
      <c r="O73" s="31">
        <f>IF(Table2[[#This Row],[impressions]]=0,0,Table2[[#This Row],[clicks]]/Table2[[#This Row],[impressions]])</f>
        <v>3.3596998002267696E-2</v>
      </c>
      <c r="P73" s="32">
        <f>IF(Table2[[#This Row],[clicks]]=0,0,Table2[[#This Row],[spend_inr]]/Table2[[#This Row],[clicks]])</f>
        <v>3.0621976697468867</v>
      </c>
      <c r="Q73" s="31">
        <f>IF(Table2[[#This Row],[clicks]]=0,0,Table2[[#This Row],[conversions]]/Table2[[#This Row],[clicks]])</f>
        <v>4.5801526717557252E-2</v>
      </c>
      <c r="R73" s="30">
        <f>IF(Table2[[#This Row],[spend_inr]]=0,0,(Table2[[#This Row],[revenue_inr]]-Table2[[#This Row],[spend_inr]])/Table2[[#This Row],[spend_inr]])</f>
        <v>9.9248039507675987</v>
      </c>
      <c r="S73" s="31">
        <f>IF(Table2[[#This Row],[impressions]]=0,0,(Table2[[#This Row],[likes]]+Table2[[#This Row],[comments]]+Table2[[#This Row],[shares]])/Table2[[#This Row],[impressions]])</f>
        <v>0</v>
      </c>
      <c r="T73" s="27"/>
    </row>
    <row r="74" spans="1:20" ht="15.75">
      <c r="A74" s="23" t="s">
        <v>37</v>
      </c>
      <c r="B74" s="20" t="s">
        <v>38</v>
      </c>
      <c r="C74" s="20" t="s">
        <v>54</v>
      </c>
      <c r="D74" s="20" t="s">
        <v>40</v>
      </c>
      <c r="E74" s="20" t="s">
        <v>50</v>
      </c>
      <c r="F74" s="20">
        <v>21317</v>
      </c>
      <c r="G74" s="20">
        <v>240</v>
      </c>
      <c r="H74" s="20">
        <v>8</v>
      </c>
      <c r="I74" s="20">
        <v>7621.52</v>
      </c>
      <c r="J74" s="20">
        <v>8690.57</v>
      </c>
      <c r="K74" s="20">
        <v>83</v>
      </c>
      <c r="L74" s="20">
        <v>14</v>
      </c>
      <c r="M74" s="20">
        <v>6</v>
      </c>
      <c r="N74" s="29">
        <f>IF(Table2[[#This Row],[impressions]]=0,0,Table2[[#This Row],[spend_inr]]/Table2[[#This Row],[impressions]]*1000)</f>
        <v>357.53248580944785</v>
      </c>
      <c r="O74" s="31">
        <f>IF(Table2[[#This Row],[impressions]]=0,0,Table2[[#This Row],[clicks]]/Table2[[#This Row],[impressions]])</f>
        <v>1.1258619880846274E-2</v>
      </c>
      <c r="P74" s="32">
        <f>IF(Table2[[#This Row],[clicks]]=0,0,Table2[[#This Row],[spend_inr]]/Table2[[#This Row],[clicks]])</f>
        <v>31.756333333333334</v>
      </c>
      <c r="Q74" s="31">
        <f>IF(Table2[[#This Row],[clicks]]=0,0,Table2[[#This Row],[conversions]]/Table2[[#This Row],[clicks]])</f>
        <v>3.3333333333333333E-2</v>
      </c>
      <c r="R74" s="30">
        <f>IF(Table2[[#This Row],[spend_inr]]=0,0,(Table2[[#This Row],[revenue_inr]]-Table2[[#This Row],[spend_inr]])/Table2[[#This Row],[spend_inr]])</f>
        <v>0.14026729576252495</v>
      </c>
      <c r="S74" s="31">
        <f>IF(Table2[[#This Row],[impressions]]=0,0,(Table2[[#This Row],[likes]]+Table2[[#This Row],[comments]]+Table2[[#This Row],[shares]])/Table2[[#This Row],[impressions]])</f>
        <v>4.8318243655298592E-3</v>
      </c>
      <c r="T74" s="27"/>
    </row>
    <row r="75" spans="1:20" ht="15.75">
      <c r="A75" s="23" t="s">
        <v>51</v>
      </c>
      <c r="B75" s="20" t="s">
        <v>38</v>
      </c>
      <c r="C75" s="20" t="s">
        <v>55</v>
      </c>
      <c r="D75" s="20" t="s">
        <v>40</v>
      </c>
      <c r="E75" s="20" t="s">
        <v>50</v>
      </c>
      <c r="F75" s="20">
        <v>63429</v>
      </c>
      <c r="G75" s="20">
        <v>419</v>
      </c>
      <c r="H75" s="20">
        <v>7</v>
      </c>
      <c r="I75" s="20">
        <v>7560.63</v>
      </c>
      <c r="J75" s="20">
        <v>3608.08</v>
      </c>
      <c r="K75" s="20">
        <v>172</v>
      </c>
      <c r="L75" s="20">
        <v>11</v>
      </c>
      <c r="M75" s="20">
        <v>13</v>
      </c>
      <c r="N75" s="29">
        <f>IF(Table2[[#This Row],[impressions]]=0,0,Table2[[#This Row],[spend_inr]]/Table2[[#This Row],[impressions]]*1000)</f>
        <v>119.19831622759305</v>
      </c>
      <c r="O75" s="31">
        <f>IF(Table2[[#This Row],[impressions]]=0,0,Table2[[#This Row],[clicks]]/Table2[[#This Row],[impressions]])</f>
        <v>6.6058112219962474E-3</v>
      </c>
      <c r="P75" s="32">
        <f>IF(Table2[[#This Row],[clicks]]=0,0,Table2[[#This Row],[spend_inr]]/Table2[[#This Row],[clicks]])</f>
        <v>18.044463007159905</v>
      </c>
      <c r="Q75" s="31">
        <f>IF(Table2[[#This Row],[clicks]]=0,0,Table2[[#This Row],[conversions]]/Table2[[#This Row],[clicks]])</f>
        <v>1.6706443914081145E-2</v>
      </c>
      <c r="R75" s="30">
        <f>IF(Table2[[#This Row],[spend_inr]]=0,0,(Table2[[#This Row],[revenue_inr]]-Table2[[#This Row],[spend_inr]])/Table2[[#This Row],[spend_inr]])</f>
        <v>-0.52278050903165474</v>
      </c>
      <c r="S75" s="31">
        <f>IF(Table2[[#This Row],[impressions]]=0,0,(Table2[[#This Row],[likes]]+Table2[[#This Row],[comments]]+Table2[[#This Row],[shares]])/Table2[[#This Row],[impressions]])</f>
        <v>3.0900692112440682E-3</v>
      </c>
      <c r="T75" s="27"/>
    </row>
    <row r="76" spans="1:20" ht="15.75">
      <c r="A76" s="23" t="s">
        <v>42</v>
      </c>
      <c r="B76" s="20" t="s">
        <v>48</v>
      </c>
      <c r="C76" s="20" t="s">
        <v>39</v>
      </c>
      <c r="D76" s="20" t="s">
        <v>40</v>
      </c>
      <c r="E76" s="20" t="s">
        <v>41</v>
      </c>
      <c r="F76" s="20">
        <v>10072</v>
      </c>
      <c r="G76" s="20">
        <v>124</v>
      </c>
      <c r="H76" s="20">
        <v>2</v>
      </c>
      <c r="I76" s="20">
        <v>7557.19</v>
      </c>
      <c r="J76" s="20">
        <v>1971.51</v>
      </c>
      <c r="K76" s="20">
        <v>56</v>
      </c>
      <c r="L76" s="20">
        <v>4</v>
      </c>
      <c r="M76" s="20">
        <v>4</v>
      </c>
      <c r="N76" s="29">
        <f>IF(Table2[[#This Row],[impressions]]=0,0,Table2[[#This Row],[spend_inr]]/Table2[[#This Row],[impressions]]*1000)</f>
        <v>750.31671961874497</v>
      </c>
      <c r="O76" s="31">
        <f>IF(Table2[[#This Row],[impressions]]=0,0,Table2[[#This Row],[clicks]]/Table2[[#This Row],[impressions]])</f>
        <v>1.2311358220810167E-2</v>
      </c>
      <c r="P76" s="32">
        <f>IF(Table2[[#This Row],[clicks]]=0,0,Table2[[#This Row],[spend_inr]]/Table2[[#This Row],[clicks]])</f>
        <v>60.945080645161291</v>
      </c>
      <c r="Q76" s="31">
        <f>IF(Table2[[#This Row],[clicks]]=0,0,Table2[[#This Row],[conversions]]/Table2[[#This Row],[clicks]])</f>
        <v>1.6129032258064516E-2</v>
      </c>
      <c r="R76" s="30">
        <f>IF(Table2[[#This Row],[spend_inr]]=0,0,(Table2[[#This Row],[revenue_inr]]-Table2[[#This Row],[spend_inr]])/Table2[[#This Row],[spend_inr]])</f>
        <v>-0.73912128714508962</v>
      </c>
      <c r="S76" s="31">
        <f>IF(Table2[[#This Row],[impressions]]=0,0,(Table2[[#This Row],[likes]]+Table2[[#This Row],[comments]]+Table2[[#This Row],[shares]])/Table2[[#This Row],[impressions]])</f>
        <v>6.354249404289118E-3</v>
      </c>
      <c r="T76" s="27"/>
    </row>
    <row r="77" spans="1:20" ht="15.75">
      <c r="A77" s="23" t="s">
        <v>42</v>
      </c>
      <c r="B77" s="20" t="s">
        <v>48</v>
      </c>
      <c r="C77" s="20" t="s">
        <v>54</v>
      </c>
      <c r="D77" s="20" t="s">
        <v>46</v>
      </c>
      <c r="E77" s="20" t="s">
        <v>50</v>
      </c>
      <c r="F77" s="20">
        <v>55003</v>
      </c>
      <c r="G77" s="20">
        <v>501</v>
      </c>
      <c r="H77" s="20">
        <v>12</v>
      </c>
      <c r="I77" s="20">
        <v>7552.89</v>
      </c>
      <c r="J77" s="20">
        <v>6778.88</v>
      </c>
      <c r="K77" s="20">
        <v>184</v>
      </c>
      <c r="L77" s="20">
        <v>10</v>
      </c>
      <c r="M77" s="20">
        <v>17</v>
      </c>
      <c r="N77" s="29">
        <f>IF(Table2[[#This Row],[impressions]]=0,0,Table2[[#This Row],[spend_inr]]/Table2[[#This Row],[impressions]]*1000)</f>
        <v>137.31778266640001</v>
      </c>
      <c r="O77" s="31">
        <f>IF(Table2[[#This Row],[impressions]]=0,0,Table2[[#This Row],[clicks]]/Table2[[#This Row],[impressions]])</f>
        <v>9.1085940766867258E-3</v>
      </c>
      <c r="P77" s="32">
        <f>IF(Table2[[#This Row],[clicks]]=0,0,Table2[[#This Row],[spend_inr]]/Table2[[#This Row],[clicks]])</f>
        <v>15.07562874251497</v>
      </c>
      <c r="Q77" s="31">
        <f>IF(Table2[[#This Row],[clicks]]=0,0,Table2[[#This Row],[conversions]]/Table2[[#This Row],[clicks]])</f>
        <v>2.3952095808383235E-2</v>
      </c>
      <c r="R77" s="30">
        <f>IF(Table2[[#This Row],[spend_inr]]=0,0,(Table2[[#This Row],[revenue_inr]]-Table2[[#This Row],[spend_inr]])/Table2[[#This Row],[spend_inr]])</f>
        <v>-0.10247865386626843</v>
      </c>
      <c r="S77" s="31">
        <f>IF(Table2[[#This Row],[impressions]]=0,0,(Table2[[#This Row],[likes]]+Table2[[#This Row],[comments]]+Table2[[#This Row],[shares]])/Table2[[#This Row],[impressions]])</f>
        <v>3.8361543915786411E-3</v>
      </c>
      <c r="T77" s="27"/>
    </row>
    <row r="78" spans="1:20" ht="15.75">
      <c r="A78" s="23" t="s">
        <v>51</v>
      </c>
      <c r="B78" s="20" t="s">
        <v>38</v>
      </c>
      <c r="C78" s="20" t="s">
        <v>54</v>
      </c>
      <c r="D78" s="20" t="s">
        <v>46</v>
      </c>
      <c r="E78" s="20" t="s">
        <v>50</v>
      </c>
      <c r="F78" s="20">
        <v>78157</v>
      </c>
      <c r="G78" s="20">
        <v>647</v>
      </c>
      <c r="H78" s="20">
        <v>12</v>
      </c>
      <c r="I78" s="20">
        <v>7551.14</v>
      </c>
      <c r="J78" s="20">
        <v>7568.84</v>
      </c>
      <c r="K78" s="20">
        <v>261</v>
      </c>
      <c r="L78" s="20">
        <v>27</v>
      </c>
      <c r="M78" s="20">
        <v>12</v>
      </c>
      <c r="N78" s="29">
        <f>IF(Table2[[#This Row],[impressions]]=0,0,Table2[[#This Row],[spend_inr]]/Table2[[#This Row],[impressions]]*1000)</f>
        <v>96.61501848842714</v>
      </c>
      <c r="O78" s="31">
        <f>IF(Table2[[#This Row],[impressions]]=0,0,Table2[[#This Row],[clicks]]/Table2[[#This Row],[impressions]])</f>
        <v>8.2782092454930459E-3</v>
      </c>
      <c r="P78" s="32">
        <f>IF(Table2[[#This Row],[clicks]]=0,0,Table2[[#This Row],[spend_inr]]/Table2[[#This Row],[clicks]])</f>
        <v>11.671004636785163</v>
      </c>
      <c r="Q78" s="31">
        <f>IF(Table2[[#This Row],[clicks]]=0,0,Table2[[#This Row],[conversions]]/Table2[[#This Row],[clicks]])</f>
        <v>1.8547140649149921E-2</v>
      </c>
      <c r="R78" s="30">
        <f>IF(Table2[[#This Row],[spend_inr]]=0,0,(Table2[[#This Row],[revenue_inr]]-Table2[[#This Row],[spend_inr]])/Table2[[#This Row],[spend_inr]])</f>
        <v>2.3440169298940051E-3</v>
      </c>
      <c r="S78" s="31">
        <f>IF(Table2[[#This Row],[impressions]]=0,0,(Table2[[#This Row],[likes]]+Table2[[#This Row],[comments]]+Table2[[#This Row],[shares]])/Table2[[#This Row],[impressions]])</f>
        <v>3.8384277799813197E-3</v>
      </c>
      <c r="T78" s="27"/>
    </row>
    <row r="79" spans="1:20" ht="15.75">
      <c r="A79" s="23" t="s">
        <v>42</v>
      </c>
      <c r="B79" s="20" t="s">
        <v>43</v>
      </c>
      <c r="C79" s="20" t="s">
        <v>55</v>
      </c>
      <c r="D79" s="20" t="s">
        <v>46</v>
      </c>
      <c r="E79" s="20" t="s">
        <v>50</v>
      </c>
      <c r="F79" s="20">
        <v>41752</v>
      </c>
      <c r="G79" s="20">
        <v>276</v>
      </c>
      <c r="H79" s="20">
        <v>5</v>
      </c>
      <c r="I79" s="20">
        <v>7541.8</v>
      </c>
      <c r="J79" s="20">
        <v>4626.74</v>
      </c>
      <c r="K79" s="20">
        <v>122</v>
      </c>
      <c r="L79" s="20">
        <v>13</v>
      </c>
      <c r="M79" s="20">
        <v>7</v>
      </c>
      <c r="N79" s="29">
        <f>IF(Table2[[#This Row],[impressions]]=0,0,Table2[[#This Row],[spend_inr]]/Table2[[#This Row],[impressions]]*1000)</f>
        <v>180.63326307721786</v>
      </c>
      <c r="O79" s="31">
        <f>IF(Table2[[#This Row],[impressions]]=0,0,Table2[[#This Row],[clicks]]/Table2[[#This Row],[impressions]])</f>
        <v>6.6104617742862616E-3</v>
      </c>
      <c r="P79" s="32">
        <f>IF(Table2[[#This Row],[clicks]]=0,0,Table2[[#This Row],[spend_inr]]/Table2[[#This Row],[clicks]])</f>
        <v>27.325362318840579</v>
      </c>
      <c r="Q79" s="31">
        <f>IF(Table2[[#This Row],[clicks]]=0,0,Table2[[#This Row],[conversions]]/Table2[[#This Row],[clicks]])</f>
        <v>1.8115942028985508E-2</v>
      </c>
      <c r="R79" s="30">
        <f>IF(Table2[[#This Row],[spend_inr]]=0,0,(Table2[[#This Row],[revenue_inr]]-Table2[[#This Row],[spend_inr]])/Table2[[#This Row],[spend_inr]])</f>
        <v>-0.38652045930679685</v>
      </c>
      <c r="S79" s="31">
        <f>IF(Table2[[#This Row],[impressions]]=0,0,(Table2[[#This Row],[likes]]+Table2[[#This Row],[comments]]+Table2[[#This Row],[shares]])/Table2[[#This Row],[impressions]])</f>
        <v>3.4010346809733665E-3</v>
      </c>
      <c r="T79" s="27"/>
    </row>
    <row r="80" spans="1:20" ht="15.75">
      <c r="A80" s="23" t="s">
        <v>52</v>
      </c>
      <c r="B80" s="20" t="s">
        <v>48</v>
      </c>
      <c r="C80" s="20" t="s">
        <v>54</v>
      </c>
      <c r="D80" s="20" t="s">
        <v>46</v>
      </c>
      <c r="E80" s="20" t="s">
        <v>56</v>
      </c>
      <c r="F80" s="20">
        <v>51513</v>
      </c>
      <c r="G80" s="20">
        <v>1686</v>
      </c>
      <c r="H80" s="20">
        <v>85</v>
      </c>
      <c r="I80" s="20">
        <v>7478.37</v>
      </c>
      <c r="J80" s="20">
        <v>62486</v>
      </c>
      <c r="K80" s="20">
        <v>0</v>
      </c>
      <c r="L80" s="20">
        <v>0</v>
      </c>
      <c r="M80" s="20">
        <v>0</v>
      </c>
      <c r="N80" s="29">
        <f>IF(Table2[[#This Row],[impressions]]=0,0,Table2[[#This Row],[spend_inr]]/Table2[[#This Row],[impressions]]*1000)</f>
        <v>145.17442199056549</v>
      </c>
      <c r="O80" s="31">
        <f>IF(Table2[[#This Row],[impressions]]=0,0,Table2[[#This Row],[clicks]]/Table2[[#This Row],[impressions]])</f>
        <v>3.2729602236328696E-2</v>
      </c>
      <c r="P80" s="32">
        <f>IF(Table2[[#This Row],[clicks]]=0,0,Table2[[#This Row],[spend_inr]]/Table2[[#This Row],[clicks]])</f>
        <v>4.4355693950177937</v>
      </c>
      <c r="Q80" s="31">
        <f>IF(Table2[[#This Row],[clicks]]=0,0,Table2[[#This Row],[conversions]]/Table2[[#This Row],[clicks]])</f>
        <v>5.041518386714116E-2</v>
      </c>
      <c r="R80" s="30">
        <f>IF(Table2[[#This Row],[spend_inr]]=0,0,(Table2[[#This Row],[revenue_inr]]-Table2[[#This Row],[spend_inr]])/Table2[[#This Row],[spend_inr]])</f>
        <v>7.3555641135702032</v>
      </c>
      <c r="S80" s="31">
        <f>IF(Table2[[#This Row],[impressions]]=0,0,(Table2[[#This Row],[likes]]+Table2[[#This Row],[comments]]+Table2[[#This Row],[shares]])/Table2[[#This Row],[impressions]])</f>
        <v>0</v>
      </c>
      <c r="T80" s="27"/>
    </row>
    <row r="81" spans="1:20" ht="15.75">
      <c r="A81" s="23" t="s">
        <v>37</v>
      </c>
      <c r="B81" s="20" t="s">
        <v>38</v>
      </c>
      <c r="C81" s="20" t="s">
        <v>55</v>
      </c>
      <c r="D81" s="20" t="s">
        <v>46</v>
      </c>
      <c r="E81" s="20" t="s">
        <v>41</v>
      </c>
      <c r="F81" s="20">
        <v>23226</v>
      </c>
      <c r="G81" s="20">
        <v>479</v>
      </c>
      <c r="H81" s="20">
        <v>16</v>
      </c>
      <c r="I81" s="20">
        <v>7472.97</v>
      </c>
      <c r="J81" s="20">
        <v>17304.02</v>
      </c>
      <c r="K81" s="20">
        <v>178</v>
      </c>
      <c r="L81" s="20">
        <v>13</v>
      </c>
      <c r="M81" s="20">
        <v>14</v>
      </c>
      <c r="N81" s="29">
        <f>IF(Table2[[#This Row],[impressions]]=0,0,Table2[[#This Row],[spend_inr]]/Table2[[#This Row],[impressions]]*1000)</f>
        <v>321.75019374838541</v>
      </c>
      <c r="O81" s="31">
        <f>IF(Table2[[#This Row],[impressions]]=0,0,Table2[[#This Row],[clicks]]/Table2[[#This Row],[impressions]])</f>
        <v>2.0623439249117369E-2</v>
      </c>
      <c r="P81" s="32">
        <f>IF(Table2[[#This Row],[clicks]]=0,0,Table2[[#This Row],[spend_inr]]/Table2[[#This Row],[clicks]])</f>
        <v>15.601189979123173</v>
      </c>
      <c r="Q81" s="31">
        <f>IF(Table2[[#This Row],[clicks]]=0,0,Table2[[#This Row],[conversions]]/Table2[[#This Row],[clicks]])</f>
        <v>3.3402922755741124E-2</v>
      </c>
      <c r="R81" s="30">
        <f>IF(Table2[[#This Row],[spend_inr]]=0,0,(Table2[[#This Row],[revenue_inr]]-Table2[[#This Row],[spend_inr]])/Table2[[#This Row],[spend_inr]])</f>
        <v>1.3155479013029625</v>
      </c>
      <c r="S81" s="31">
        <f>IF(Table2[[#This Row],[impressions]]=0,0,(Table2[[#This Row],[likes]]+Table2[[#This Row],[comments]]+Table2[[#This Row],[shares]])/Table2[[#This Row],[impressions]])</f>
        <v>8.8263153362610862E-3</v>
      </c>
      <c r="T81" s="27"/>
    </row>
    <row r="82" spans="1:20" ht="15.75">
      <c r="A82" s="23" t="s">
        <v>52</v>
      </c>
      <c r="B82" s="20" t="s">
        <v>38</v>
      </c>
      <c r="C82" s="20" t="s">
        <v>55</v>
      </c>
      <c r="D82" s="20" t="s">
        <v>40</v>
      </c>
      <c r="E82" s="20" t="s">
        <v>53</v>
      </c>
      <c r="F82" s="20">
        <v>67270</v>
      </c>
      <c r="G82" s="20">
        <v>1996</v>
      </c>
      <c r="H82" s="20">
        <v>48</v>
      </c>
      <c r="I82" s="20">
        <v>7446.4</v>
      </c>
      <c r="J82" s="20">
        <v>67646.77</v>
      </c>
      <c r="K82" s="20">
        <v>0</v>
      </c>
      <c r="L82" s="20">
        <v>0</v>
      </c>
      <c r="M82" s="20">
        <v>0</v>
      </c>
      <c r="N82" s="29">
        <f>IF(Table2[[#This Row],[impressions]]=0,0,Table2[[#This Row],[spend_inr]]/Table2[[#This Row],[impressions]]*1000)</f>
        <v>110.69421733313513</v>
      </c>
      <c r="O82" s="31">
        <f>IF(Table2[[#This Row],[impressions]]=0,0,Table2[[#This Row],[clicks]]/Table2[[#This Row],[impressions]])</f>
        <v>2.9671473167831128E-2</v>
      </c>
      <c r="P82" s="32">
        <f>IF(Table2[[#This Row],[clicks]]=0,0,Table2[[#This Row],[spend_inr]]/Table2[[#This Row],[clicks]])</f>
        <v>3.7306613226452905</v>
      </c>
      <c r="Q82" s="31">
        <f>IF(Table2[[#This Row],[clicks]]=0,0,Table2[[#This Row],[conversions]]/Table2[[#This Row],[clicks]])</f>
        <v>2.4048096192384769E-2</v>
      </c>
      <c r="R82" s="30">
        <f>IF(Table2[[#This Row],[spend_inr]]=0,0,(Table2[[#This Row],[revenue_inr]]-Table2[[#This Row],[spend_inr]])/Table2[[#This Row],[spend_inr]])</f>
        <v>8.0844931779114741</v>
      </c>
      <c r="S82" s="31">
        <f>IF(Table2[[#This Row],[impressions]]=0,0,(Table2[[#This Row],[likes]]+Table2[[#This Row],[comments]]+Table2[[#This Row],[shares]])/Table2[[#This Row],[impressions]])</f>
        <v>0</v>
      </c>
      <c r="T82" s="27"/>
    </row>
    <row r="83" spans="1:20" ht="15.75">
      <c r="A83" s="23" t="s">
        <v>37</v>
      </c>
      <c r="B83" s="20" t="s">
        <v>44</v>
      </c>
      <c r="C83" s="20" t="s">
        <v>66</v>
      </c>
      <c r="D83" s="20" t="s">
        <v>40</v>
      </c>
      <c r="E83" s="20" t="s">
        <v>41</v>
      </c>
      <c r="F83" s="20">
        <v>29616</v>
      </c>
      <c r="G83" s="20">
        <v>404</v>
      </c>
      <c r="H83" s="20">
        <v>8</v>
      </c>
      <c r="I83" s="20">
        <v>7416.81</v>
      </c>
      <c r="J83" s="20">
        <v>6519.41</v>
      </c>
      <c r="K83" s="20">
        <v>172</v>
      </c>
      <c r="L83" s="20">
        <v>13</v>
      </c>
      <c r="M83" s="20">
        <v>4</v>
      </c>
      <c r="N83" s="29">
        <f>IF(Table2[[#This Row],[impressions]]=0,0,Table2[[#This Row],[spend_inr]]/Table2[[#This Row],[impressions]]*1000)</f>
        <v>250.43253646677471</v>
      </c>
      <c r="O83" s="31">
        <f>IF(Table2[[#This Row],[impressions]]=0,0,Table2[[#This Row],[clicks]]/Table2[[#This Row],[impressions]])</f>
        <v>1.3641274986493788E-2</v>
      </c>
      <c r="P83" s="32">
        <f>IF(Table2[[#This Row],[clicks]]=0,0,Table2[[#This Row],[spend_inr]]/Table2[[#This Row],[clicks]])</f>
        <v>18.358440594059406</v>
      </c>
      <c r="Q83" s="31">
        <f>IF(Table2[[#This Row],[clicks]]=0,0,Table2[[#This Row],[conversions]]/Table2[[#This Row],[clicks]])</f>
        <v>1.9801980198019802E-2</v>
      </c>
      <c r="R83" s="30">
        <f>IF(Table2[[#This Row],[spend_inr]]=0,0,(Table2[[#This Row],[revenue_inr]]-Table2[[#This Row],[spend_inr]])/Table2[[#This Row],[spend_inr]])</f>
        <v>-0.12099541447064176</v>
      </c>
      <c r="S83" s="31">
        <f>IF(Table2[[#This Row],[impressions]]=0,0,(Table2[[#This Row],[likes]]+Table2[[#This Row],[comments]]+Table2[[#This Row],[shares]])/Table2[[#This Row],[impressions]])</f>
        <v>6.381685575364668E-3</v>
      </c>
      <c r="T83" s="27"/>
    </row>
    <row r="84" spans="1:20" ht="15.75">
      <c r="A84" s="23" t="s">
        <v>37</v>
      </c>
      <c r="B84" s="20" t="s">
        <v>38</v>
      </c>
      <c r="C84" s="20" t="s">
        <v>39</v>
      </c>
      <c r="D84" s="20" t="s">
        <v>40</v>
      </c>
      <c r="E84" s="20" t="s">
        <v>41</v>
      </c>
      <c r="F84" s="20">
        <v>37013</v>
      </c>
      <c r="G84" s="20">
        <v>524</v>
      </c>
      <c r="H84" s="20">
        <v>12</v>
      </c>
      <c r="I84" s="20">
        <v>7399.24</v>
      </c>
      <c r="J84" s="20">
        <v>14985.65</v>
      </c>
      <c r="K84" s="20">
        <v>209</v>
      </c>
      <c r="L84" s="20">
        <v>15</v>
      </c>
      <c r="M84" s="20">
        <v>8</v>
      </c>
      <c r="N84" s="29">
        <f>IF(Table2[[#This Row],[impressions]]=0,0,Table2[[#This Row],[spend_inr]]/Table2[[#This Row],[impressions]]*1000)</f>
        <v>199.90922108448385</v>
      </c>
      <c r="O84" s="31">
        <f>IF(Table2[[#This Row],[impressions]]=0,0,Table2[[#This Row],[clicks]]/Table2[[#This Row],[impressions]])</f>
        <v>1.4157188015021749E-2</v>
      </c>
      <c r="P84" s="32">
        <f>IF(Table2[[#This Row],[clicks]]=0,0,Table2[[#This Row],[spend_inr]]/Table2[[#This Row],[clicks]])</f>
        <v>14.120687022900762</v>
      </c>
      <c r="Q84" s="31">
        <f>IF(Table2[[#This Row],[clicks]]=0,0,Table2[[#This Row],[conversions]]/Table2[[#This Row],[clicks]])</f>
        <v>2.2900763358778626E-2</v>
      </c>
      <c r="R84" s="30">
        <f>IF(Table2[[#This Row],[spend_inr]]=0,0,(Table2[[#This Row],[revenue_inr]]-Table2[[#This Row],[spend_inr]])/Table2[[#This Row],[spend_inr]])</f>
        <v>1.025295841194501</v>
      </c>
      <c r="S84" s="31">
        <f>IF(Table2[[#This Row],[impressions]]=0,0,(Table2[[#This Row],[likes]]+Table2[[#This Row],[comments]]+Table2[[#This Row],[shares]])/Table2[[#This Row],[impressions]])</f>
        <v>6.2680679761164997E-3</v>
      </c>
      <c r="T84" s="27"/>
    </row>
    <row r="85" spans="1:20" ht="15.75">
      <c r="A85" s="23" t="s">
        <v>51</v>
      </c>
      <c r="B85" s="20" t="s">
        <v>48</v>
      </c>
      <c r="C85" s="20" t="s">
        <v>55</v>
      </c>
      <c r="D85" s="20" t="s">
        <v>46</v>
      </c>
      <c r="E85" s="20" t="s">
        <v>50</v>
      </c>
      <c r="F85" s="20">
        <v>30071</v>
      </c>
      <c r="G85" s="20">
        <v>264</v>
      </c>
      <c r="H85" s="20">
        <v>5</v>
      </c>
      <c r="I85" s="20">
        <v>7397.5</v>
      </c>
      <c r="J85" s="20">
        <v>4287.32</v>
      </c>
      <c r="K85" s="20">
        <v>120</v>
      </c>
      <c r="L85" s="20">
        <v>6</v>
      </c>
      <c r="M85" s="20">
        <v>6</v>
      </c>
      <c r="N85" s="29">
        <f>IF(Table2[[#This Row],[impressions]]=0,0,Table2[[#This Row],[spend_inr]]/Table2[[#This Row],[impressions]]*1000)</f>
        <v>246.00113065744407</v>
      </c>
      <c r="O85" s="31">
        <f>IF(Table2[[#This Row],[impressions]]=0,0,Table2[[#This Row],[clicks]]/Table2[[#This Row],[impressions]])</f>
        <v>8.7792225067340624E-3</v>
      </c>
      <c r="P85" s="32">
        <f>IF(Table2[[#This Row],[clicks]]=0,0,Table2[[#This Row],[spend_inr]]/Table2[[#This Row],[clicks]])</f>
        <v>28.020833333333332</v>
      </c>
      <c r="Q85" s="31">
        <f>IF(Table2[[#This Row],[clicks]]=0,0,Table2[[#This Row],[conversions]]/Table2[[#This Row],[clicks]])</f>
        <v>1.893939393939394E-2</v>
      </c>
      <c r="R85" s="30">
        <f>IF(Table2[[#This Row],[spend_inr]]=0,0,(Table2[[#This Row],[revenue_inr]]-Table2[[#This Row],[spend_inr]])/Table2[[#This Row],[spend_inr]])</f>
        <v>-0.42043663399797232</v>
      </c>
      <c r="S85" s="31">
        <f>IF(Table2[[#This Row],[impressions]]=0,0,(Table2[[#This Row],[likes]]+Table2[[#This Row],[comments]]+Table2[[#This Row],[shares]])/Table2[[#This Row],[impressions]])</f>
        <v>4.3896112533670312E-3</v>
      </c>
      <c r="T85" s="27"/>
    </row>
    <row r="86" spans="1:20" ht="15.75">
      <c r="A86" s="23" t="s">
        <v>42</v>
      </c>
      <c r="B86" s="20" t="s">
        <v>38</v>
      </c>
      <c r="C86" s="20" t="s">
        <v>49</v>
      </c>
      <c r="D86" s="20" t="s">
        <v>46</v>
      </c>
      <c r="E86" s="20" t="s">
        <v>47</v>
      </c>
      <c r="F86" s="20">
        <v>15297</v>
      </c>
      <c r="G86" s="20">
        <v>151</v>
      </c>
      <c r="H86" s="20">
        <v>3</v>
      </c>
      <c r="I86" s="20">
        <v>7369.58</v>
      </c>
      <c r="J86" s="20">
        <v>3549.07</v>
      </c>
      <c r="K86" s="20">
        <v>61</v>
      </c>
      <c r="L86" s="20">
        <v>7</v>
      </c>
      <c r="M86" s="20">
        <v>4</v>
      </c>
      <c r="N86" s="29">
        <f>IF(Table2[[#This Row],[impressions]]=0,0,Table2[[#This Row],[spend_inr]]/Table2[[#This Row],[impressions]]*1000)</f>
        <v>481.76635941687914</v>
      </c>
      <c r="O86" s="31">
        <f>IF(Table2[[#This Row],[impressions]]=0,0,Table2[[#This Row],[clicks]]/Table2[[#This Row],[impressions]])</f>
        <v>9.8712165784140687E-3</v>
      </c>
      <c r="P86" s="32">
        <f>IF(Table2[[#This Row],[clicks]]=0,0,Table2[[#This Row],[spend_inr]]/Table2[[#This Row],[clicks]])</f>
        <v>48.805165562913906</v>
      </c>
      <c r="Q86" s="31">
        <f>IF(Table2[[#This Row],[clicks]]=0,0,Table2[[#This Row],[conversions]]/Table2[[#This Row],[clicks]])</f>
        <v>1.9867549668874173E-2</v>
      </c>
      <c r="R86" s="30">
        <f>IF(Table2[[#This Row],[spend_inr]]=0,0,(Table2[[#This Row],[revenue_inr]]-Table2[[#This Row],[spend_inr]])/Table2[[#This Row],[spend_inr]])</f>
        <v>-0.51841624624469773</v>
      </c>
      <c r="S86" s="31">
        <f>IF(Table2[[#This Row],[impressions]]=0,0,(Table2[[#This Row],[likes]]+Table2[[#This Row],[comments]]+Table2[[#This Row],[shares]])/Table2[[#This Row],[impressions]])</f>
        <v>4.7068052559325361E-3</v>
      </c>
      <c r="T86" s="27"/>
    </row>
    <row r="87" spans="1:20" ht="15.75">
      <c r="A87" s="23" t="s">
        <v>42</v>
      </c>
      <c r="B87" s="20" t="s">
        <v>43</v>
      </c>
      <c r="C87" s="20" t="s">
        <v>39</v>
      </c>
      <c r="D87" s="20" t="s">
        <v>40</v>
      </c>
      <c r="E87" s="20" t="s">
        <v>41</v>
      </c>
      <c r="F87" s="20">
        <v>14509</v>
      </c>
      <c r="G87" s="20">
        <v>140</v>
      </c>
      <c r="H87" s="20">
        <v>3</v>
      </c>
      <c r="I87" s="20">
        <v>7323.71</v>
      </c>
      <c r="J87" s="20">
        <v>1511.84</v>
      </c>
      <c r="K87" s="20">
        <v>56</v>
      </c>
      <c r="L87" s="20">
        <v>7</v>
      </c>
      <c r="M87" s="20">
        <v>3</v>
      </c>
      <c r="N87" s="29">
        <f>IF(Table2[[#This Row],[impressions]]=0,0,Table2[[#This Row],[spend_inr]]/Table2[[#This Row],[impressions]]*1000)</f>
        <v>504.77014267006683</v>
      </c>
      <c r="O87" s="31">
        <f>IF(Table2[[#This Row],[impressions]]=0,0,Table2[[#This Row],[clicks]]/Table2[[#This Row],[impressions]])</f>
        <v>9.6491832655593076E-3</v>
      </c>
      <c r="P87" s="32">
        <f>IF(Table2[[#This Row],[clicks]]=0,0,Table2[[#This Row],[spend_inr]]/Table2[[#This Row],[clicks]])</f>
        <v>52.312214285714283</v>
      </c>
      <c r="Q87" s="31">
        <f>IF(Table2[[#This Row],[clicks]]=0,0,Table2[[#This Row],[conversions]]/Table2[[#This Row],[clicks]])</f>
        <v>2.1428571428571429E-2</v>
      </c>
      <c r="R87" s="30">
        <f>IF(Table2[[#This Row],[spend_inr]]=0,0,(Table2[[#This Row],[revenue_inr]]-Table2[[#This Row],[spend_inr]])/Table2[[#This Row],[spend_inr]])</f>
        <v>-0.79356910636822042</v>
      </c>
      <c r="S87" s="31">
        <f>IF(Table2[[#This Row],[impressions]]=0,0,(Table2[[#This Row],[likes]]+Table2[[#This Row],[comments]]+Table2[[#This Row],[shares]])/Table2[[#This Row],[impressions]])</f>
        <v>4.5489006823351023E-3</v>
      </c>
      <c r="T87" s="27"/>
    </row>
    <row r="88" spans="1:20" ht="15.75">
      <c r="A88" s="23" t="s">
        <v>52</v>
      </c>
      <c r="B88" s="20" t="s">
        <v>48</v>
      </c>
      <c r="C88" s="20" t="s">
        <v>39</v>
      </c>
      <c r="D88" s="20" t="s">
        <v>46</v>
      </c>
      <c r="E88" s="20" t="s">
        <v>53</v>
      </c>
      <c r="F88" s="20">
        <v>18681</v>
      </c>
      <c r="G88" s="20">
        <v>511</v>
      </c>
      <c r="H88" s="20">
        <v>14</v>
      </c>
      <c r="I88" s="20">
        <v>7310.38</v>
      </c>
      <c r="J88" s="20">
        <v>19611.560000000001</v>
      </c>
      <c r="K88" s="20">
        <v>0</v>
      </c>
      <c r="L88" s="20">
        <v>0</v>
      </c>
      <c r="M88" s="20">
        <v>0</v>
      </c>
      <c r="N88" s="29">
        <f>IF(Table2[[#This Row],[impressions]]=0,0,Table2[[#This Row],[spend_inr]]/Table2[[#This Row],[impressions]]*1000)</f>
        <v>391.32701675499169</v>
      </c>
      <c r="O88" s="31">
        <f>IF(Table2[[#This Row],[impressions]]=0,0,Table2[[#This Row],[clicks]]/Table2[[#This Row],[impressions]])</f>
        <v>2.7353996038755955E-2</v>
      </c>
      <c r="P88" s="32">
        <f>IF(Table2[[#This Row],[clicks]]=0,0,Table2[[#This Row],[spend_inr]]/Table2[[#This Row],[clicks]])</f>
        <v>14.306027397260275</v>
      </c>
      <c r="Q88" s="31">
        <f>IF(Table2[[#This Row],[clicks]]=0,0,Table2[[#This Row],[conversions]]/Table2[[#This Row],[clicks]])</f>
        <v>2.7397260273972601E-2</v>
      </c>
      <c r="R88" s="30">
        <f>IF(Table2[[#This Row],[spend_inr]]=0,0,(Table2[[#This Row],[revenue_inr]]-Table2[[#This Row],[spend_inr]])/Table2[[#This Row],[spend_inr]])</f>
        <v>1.6827004888938741</v>
      </c>
      <c r="S88" s="31">
        <f>IF(Table2[[#This Row],[impressions]]=0,0,(Table2[[#This Row],[likes]]+Table2[[#This Row],[comments]]+Table2[[#This Row],[shares]])/Table2[[#This Row],[impressions]])</f>
        <v>0</v>
      </c>
      <c r="T88" s="27"/>
    </row>
    <row r="89" spans="1:20" ht="15.75">
      <c r="A89" s="23" t="s">
        <v>42</v>
      </c>
      <c r="B89" s="20" t="s">
        <v>38</v>
      </c>
      <c r="C89" s="20" t="s">
        <v>39</v>
      </c>
      <c r="D89" s="20" t="s">
        <v>46</v>
      </c>
      <c r="E89" s="20" t="s">
        <v>41</v>
      </c>
      <c r="F89" s="20">
        <v>27170</v>
      </c>
      <c r="G89" s="20">
        <v>298</v>
      </c>
      <c r="H89" s="20">
        <v>5</v>
      </c>
      <c r="I89" s="20">
        <v>7297.85</v>
      </c>
      <c r="J89" s="20">
        <v>5703.02</v>
      </c>
      <c r="K89" s="20">
        <v>116</v>
      </c>
      <c r="L89" s="20">
        <v>7</v>
      </c>
      <c r="M89" s="20">
        <v>7</v>
      </c>
      <c r="N89" s="29">
        <f>IF(Table2[[#This Row],[impressions]]=0,0,Table2[[#This Row],[spend_inr]]/Table2[[#This Row],[impressions]]*1000)</f>
        <v>268.59955833640049</v>
      </c>
      <c r="O89" s="31">
        <f>IF(Table2[[#This Row],[impressions]]=0,0,Table2[[#This Row],[clicks]]/Table2[[#This Row],[impressions]])</f>
        <v>1.0967979389032021E-2</v>
      </c>
      <c r="P89" s="32">
        <f>IF(Table2[[#This Row],[clicks]]=0,0,Table2[[#This Row],[spend_inr]]/Table2[[#This Row],[clicks]])</f>
        <v>24.489429530201342</v>
      </c>
      <c r="Q89" s="31">
        <f>IF(Table2[[#This Row],[clicks]]=0,0,Table2[[#This Row],[conversions]]/Table2[[#This Row],[clicks]])</f>
        <v>1.6778523489932886E-2</v>
      </c>
      <c r="R89" s="30">
        <f>IF(Table2[[#This Row],[spend_inr]]=0,0,(Table2[[#This Row],[revenue_inr]]-Table2[[#This Row],[spend_inr]])/Table2[[#This Row],[spend_inr]])</f>
        <v>-0.21853422583363591</v>
      </c>
      <c r="S89" s="31">
        <f>IF(Table2[[#This Row],[impressions]]=0,0,(Table2[[#This Row],[likes]]+Table2[[#This Row],[comments]]+Table2[[#This Row],[shares]])/Table2[[#This Row],[impressions]])</f>
        <v>4.7846889952153108E-3</v>
      </c>
      <c r="T89" s="27"/>
    </row>
    <row r="90" spans="1:20" ht="15.75">
      <c r="A90" s="23" t="s">
        <v>52</v>
      </c>
      <c r="B90" s="20" t="s">
        <v>48</v>
      </c>
      <c r="C90" s="20" t="s">
        <v>45</v>
      </c>
      <c r="D90" s="20" t="s">
        <v>40</v>
      </c>
      <c r="E90" s="20" t="s">
        <v>56</v>
      </c>
      <c r="F90" s="20">
        <v>13293</v>
      </c>
      <c r="G90" s="20">
        <v>395</v>
      </c>
      <c r="H90" s="20">
        <v>13</v>
      </c>
      <c r="I90" s="20">
        <v>7291.38</v>
      </c>
      <c r="J90" s="20">
        <v>9462.32</v>
      </c>
      <c r="K90" s="20">
        <v>0</v>
      </c>
      <c r="L90" s="20">
        <v>0</v>
      </c>
      <c r="M90" s="20">
        <v>0</v>
      </c>
      <c r="N90" s="29">
        <f>IF(Table2[[#This Row],[impressions]]=0,0,Table2[[#This Row],[spend_inr]]/Table2[[#This Row],[impressions]]*1000)</f>
        <v>548.51275107199285</v>
      </c>
      <c r="O90" s="31">
        <f>IF(Table2[[#This Row],[impressions]]=0,0,Table2[[#This Row],[clicks]]/Table2[[#This Row],[impressions]])</f>
        <v>2.9714887534792747E-2</v>
      </c>
      <c r="P90" s="32">
        <f>IF(Table2[[#This Row],[clicks]]=0,0,Table2[[#This Row],[spend_inr]]/Table2[[#This Row],[clicks]])</f>
        <v>18.459189873417721</v>
      </c>
      <c r="Q90" s="31">
        <f>IF(Table2[[#This Row],[clicks]]=0,0,Table2[[#This Row],[conversions]]/Table2[[#This Row],[clicks]])</f>
        <v>3.2911392405063293E-2</v>
      </c>
      <c r="R90" s="30">
        <f>IF(Table2[[#This Row],[spend_inr]]=0,0,(Table2[[#This Row],[revenue_inr]]-Table2[[#This Row],[spend_inr]])/Table2[[#This Row],[spend_inr]])</f>
        <v>0.29774061974550764</v>
      </c>
      <c r="S90" s="31">
        <f>IF(Table2[[#This Row],[impressions]]=0,0,(Table2[[#This Row],[likes]]+Table2[[#This Row],[comments]]+Table2[[#This Row],[shares]])/Table2[[#This Row],[impressions]])</f>
        <v>0</v>
      </c>
      <c r="T90" s="27"/>
    </row>
    <row r="91" spans="1:20" ht="15.75">
      <c r="A91" s="23" t="s">
        <v>42</v>
      </c>
      <c r="B91" s="20" t="s">
        <v>43</v>
      </c>
      <c r="C91" s="20" t="s">
        <v>55</v>
      </c>
      <c r="D91" s="20" t="s">
        <v>40</v>
      </c>
      <c r="E91" s="20" t="s">
        <v>47</v>
      </c>
      <c r="F91" s="20">
        <v>24002</v>
      </c>
      <c r="G91" s="20">
        <v>247</v>
      </c>
      <c r="H91" s="20">
        <v>2</v>
      </c>
      <c r="I91" s="20">
        <v>7283.06</v>
      </c>
      <c r="J91" s="20">
        <v>1953.37</v>
      </c>
      <c r="K91" s="20">
        <v>101</v>
      </c>
      <c r="L91" s="20">
        <v>9</v>
      </c>
      <c r="M91" s="20">
        <v>7</v>
      </c>
      <c r="N91" s="29">
        <f>IF(Table2[[#This Row],[impressions]]=0,0,Table2[[#This Row],[spend_inr]]/Table2[[#This Row],[impressions]]*1000)</f>
        <v>303.43554703774691</v>
      </c>
      <c r="O91" s="31">
        <f>IF(Table2[[#This Row],[impressions]]=0,0,Table2[[#This Row],[clicks]]/Table2[[#This Row],[impressions]])</f>
        <v>1.0290809099241729E-2</v>
      </c>
      <c r="P91" s="32">
        <f>IF(Table2[[#This Row],[clicks]]=0,0,Table2[[#This Row],[spend_inr]]/Table2[[#This Row],[clicks]])</f>
        <v>29.486072874493928</v>
      </c>
      <c r="Q91" s="31">
        <f>IF(Table2[[#This Row],[clicks]]=0,0,Table2[[#This Row],[conversions]]/Table2[[#This Row],[clicks]])</f>
        <v>8.0971659919028341E-3</v>
      </c>
      <c r="R91" s="30">
        <f>IF(Table2[[#This Row],[spend_inr]]=0,0,(Table2[[#This Row],[revenue_inr]]-Table2[[#This Row],[spend_inr]])/Table2[[#This Row],[spend_inr]])</f>
        <v>-0.73179268054910984</v>
      </c>
      <c r="S91" s="31">
        <f>IF(Table2[[#This Row],[impressions]]=0,0,(Table2[[#This Row],[likes]]+Table2[[#This Row],[comments]]+Table2[[#This Row],[shares]])/Table2[[#This Row],[impressions]])</f>
        <v>4.8745937838513458E-3</v>
      </c>
      <c r="T91" s="27"/>
    </row>
    <row r="92" spans="1:20" ht="15.75">
      <c r="A92" s="23" t="s">
        <v>42</v>
      </c>
      <c r="B92" s="20" t="s">
        <v>44</v>
      </c>
      <c r="C92" s="20" t="s">
        <v>49</v>
      </c>
      <c r="D92" s="20" t="s">
        <v>46</v>
      </c>
      <c r="E92" s="20" t="s">
        <v>41</v>
      </c>
      <c r="F92" s="20">
        <v>39736</v>
      </c>
      <c r="G92" s="20">
        <v>196</v>
      </c>
      <c r="H92" s="20">
        <v>3</v>
      </c>
      <c r="I92" s="20">
        <v>7190.1</v>
      </c>
      <c r="J92" s="20">
        <v>3421.38</v>
      </c>
      <c r="K92" s="20">
        <v>60</v>
      </c>
      <c r="L92" s="20">
        <v>8</v>
      </c>
      <c r="M92" s="20">
        <v>7</v>
      </c>
      <c r="N92" s="29">
        <f>IF(Table2[[#This Row],[impressions]]=0,0,Table2[[#This Row],[spend_inr]]/Table2[[#This Row],[impressions]]*1000)</f>
        <v>180.94674854036643</v>
      </c>
      <c r="O92" s="31">
        <f>IF(Table2[[#This Row],[impressions]]=0,0,Table2[[#This Row],[clicks]]/Table2[[#This Row],[impressions]])</f>
        <v>4.9325548620897924E-3</v>
      </c>
      <c r="P92" s="32">
        <f>IF(Table2[[#This Row],[clicks]]=0,0,Table2[[#This Row],[spend_inr]]/Table2[[#This Row],[clicks]])</f>
        <v>36.684183673469391</v>
      </c>
      <c r="Q92" s="31">
        <f>IF(Table2[[#This Row],[clicks]]=0,0,Table2[[#This Row],[conversions]]/Table2[[#This Row],[clicks]])</f>
        <v>1.5306122448979591E-2</v>
      </c>
      <c r="R92" s="30">
        <f>IF(Table2[[#This Row],[spend_inr]]=0,0,(Table2[[#This Row],[revenue_inr]]-Table2[[#This Row],[spend_inr]])/Table2[[#This Row],[spend_inr]])</f>
        <v>-0.52415404514540831</v>
      </c>
      <c r="S92" s="31">
        <f>IF(Table2[[#This Row],[impressions]]=0,0,(Table2[[#This Row],[likes]]+Table2[[#This Row],[comments]]+Table2[[#This Row],[shares]])/Table2[[#This Row],[impressions]])</f>
        <v>1.8874572176364002E-3</v>
      </c>
      <c r="T92" s="27"/>
    </row>
    <row r="93" spans="1:20" ht="15.75">
      <c r="A93" s="23" t="s">
        <v>42</v>
      </c>
      <c r="B93" s="20" t="s">
        <v>44</v>
      </c>
      <c r="C93" s="20" t="s">
        <v>55</v>
      </c>
      <c r="D93" s="20" t="s">
        <v>46</v>
      </c>
      <c r="E93" s="20" t="s">
        <v>50</v>
      </c>
      <c r="F93" s="20">
        <v>57215</v>
      </c>
      <c r="G93" s="20">
        <v>858</v>
      </c>
      <c r="H93" s="20">
        <v>19</v>
      </c>
      <c r="I93" s="20">
        <v>7154.68</v>
      </c>
      <c r="J93" s="20">
        <v>13550.54</v>
      </c>
      <c r="K93" s="20">
        <v>411</v>
      </c>
      <c r="L93" s="20">
        <v>50</v>
      </c>
      <c r="M93" s="20">
        <v>16</v>
      </c>
      <c r="N93" s="29">
        <f>IF(Table2[[#This Row],[impressions]]=0,0,Table2[[#This Row],[spend_inr]]/Table2[[#This Row],[impressions]]*1000)</f>
        <v>125.04902560517347</v>
      </c>
      <c r="O93" s="31">
        <f>IF(Table2[[#This Row],[impressions]]=0,0,Table2[[#This Row],[clicks]]/Table2[[#This Row],[impressions]])</f>
        <v>1.4996067464825657E-2</v>
      </c>
      <c r="P93" s="32">
        <f>IF(Table2[[#This Row],[clicks]]=0,0,Table2[[#This Row],[spend_inr]]/Table2[[#This Row],[clicks]])</f>
        <v>8.3387878787878797</v>
      </c>
      <c r="Q93" s="31">
        <f>IF(Table2[[#This Row],[clicks]]=0,0,Table2[[#This Row],[conversions]]/Table2[[#This Row],[clicks]])</f>
        <v>2.2144522144522144E-2</v>
      </c>
      <c r="R93" s="30">
        <f>IF(Table2[[#This Row],[spend_inr]]=0,0,(Table2[[#This Row],[revenue_inr]]-Table2[[#This Row],[spend_inr]])/Table2[[#This Row],[spend_inr]])</f>
        <v>0.89394074927180533</v>
      </c>
      <c r="S93" s="31">
        <f>IF(Table2[[#This Row],[impressions]]=0,0,(Table2[[#This Row],[likes]]+Table2[[#This Row],[comments]]+Table2[[#This Row],[shares]])/Table2[[#This Row],[impressions]])</f>
        <v>8.3369745696058734E-3</v>
      </c>
      <c r="T93" s="27"/>
    </row>
    <row r="94" spans="1:20" ht="15.75">
      <c r="A94" s="23" t="s">
        <v>52</v>
      </c>
      <c r="B94" s="20" t="s">
        <v>38</v>
      </c>
      <c r="C94" s="20" t="s">
        <v>49</v>
      </c>
      <c r="D94" s="20" t="s">
        <v>46</v>
      </c>
      <c r="E94" s="20" t="s">
        <v>53</v>
      </c>
      <c r="F94" s="20">
        <v>0</v>
      </c>
      <c r="G94" s="20">
        <v>921</v>
      </c>
      <c r="H94" s="20">
        <v>28</v>
      </c>
      <c r="I94" s="20">
        <v>7136.37</v>
      </c>
      <c r="J94" s="20">
        <v>33478.39</v>
      </c>
      <c r="K94" s="20">
        <v>0</v>
      </c>
      <c r="L94" s="20">
        <v>0</v>
      </c>
      <c r="M94" s="20">
        <v>0</v>
      </c>
      <c r="N94" s="29">
        <f>IF(Table2[[#This Row],[impressions]]=0,0,Table2[[#This Row],[spend_inr]]/Table2[[#This Row],[impressions]]*1000)</f>
        <v>0</v>
      </c>
      <c r="O94" s="31">
        <f>IF(Table2[[#This Row],[impressions]]=0,0,Table2[[#This Row],[clicks]]/Table2[[#This Row],[impressions]])</f>
        <v>0</v>
      </c>
      <c r="P94" s="32">
        <f>IF(Table2[[#This Row],[clicks]]=0,0,Table2[[#This Row],[spend_inr]]/Table2[[#This Row],[clicks]])</f>
        <v>7.7485016286644948</v>
      </c>
      <c r="Q94" s="31">
        <f>IF(Table2[[#This Row],[clicks]]=0,0,Table2[[#This Row],[conversions]]/Table2[[#This Row],[clicks]])</f>
        <v>3.0401737242128121E-2</v>
      </c>
      <c r="R94" s="30">
        <f>IF(Table2[[#This Row],[spend_inr]]=0,0,(Table2[[#This Row],[revenue_inr]]-Table2[[#This Row],[spend_inr]])/Table2[[#This Row],[spend_inr]])</f>
        <v>3.6912351797902856</v>
      </c>
      <c r="S94" s="31">
        <f>IF(Table2[[#This Row],[impressions]]=0,0,(Table2[[#This Row],[likes]]+Table2[[#This Row],[comments]]+Table2[[#This Row],[shares]])/Table2[[#This Row],[impressions]])</f>
        <v>0</v>
      </c>
      <c r="T94" s="27"/>
    </row>
    <row r="95" spans="1:20" ht="15.75">
      <c r="A95" s="23" t="s">
        <v>42</v>
      </c>
      <c r="B95" s="20" t="s">
        <v>38</v>
      </c>
      <c r="C95" s="20" t="s">
        <v>45</v>
      </c>
      <c r="D95" s="20" t="s">
        <v>46</v>
      </c>
      <c r="E95" s="20" t="s">
        <v>50</v>
      </c>
      <c r="F95" s="20">
        <v>49200</v>
      </c>
      <c r="G95" s="20">
        <v>672</v>
      </c>
      <c r="H95" s="20">
        <v>18</v>
      </c>
      <c r="I95" s="20">
        <v>7117.31</v>
      </c>
      <c r="J95" s="20">
        <v>11247.65</v>
      </c>
      <c r="K95" s="20">
        <v>331</v>
      </c>
      <c r="L95" s="20">
        <v>15</v>
      </c>
      <c r="M95" s="20">
        <v>12</v>
      </c>
      <c r="N95" s="29">
        <f>IF(Table2[[#This Row],[impressions]]=0,0,Table2[[#This Row],[spend_inr]]/Table2[[#This Row],[impressions]]*1000)</f>
        <v>144.6607723577236</v>
      </c>
      <c r="O95" s="31">
        <f>IF(Table2[[#This Row],[impressions]]=0,0,Table2[[#This Row],[clicks]]/Table2[[#This Row],[impressions]])</f>
        <v>1.3658536585365854E-2</v>
      </c>
      <c r="P95" s="32">
        <f>IF(Table2[[#This Row],[clicks]]=0,0,Table2[[#This Row],[spend_inr]]/Table2[[#This Row],[clicks]])</f>
        <v>10.591235119047619</v>
      </c>
      <c r="Q95" s="31">
        <f>IF(Table2[[#This Row],[clicks]]=0,0,Table2[[#This Row],[conversions]]/Table2[[#This Row],[clicks]])</f>
        <v>2.6785714285714284E-2</v>
      </c>
      <c r="R95" s="30">
        <f>IF(Table2[[#This Row],[spend_inr]]=0,0,(Table2[[#This Row],[revenue_inr]]-Table2[[#This Row],[spend_inr]])/Table2[[#This Row],[spend_inr]])</f>
        <v>0.58032318389953497</v>
      </c>
      <c r="S95" s="31">
        <f>IF(Table2[[#This Row],[impressions]]=0,0,(Table2[[#This Row],[likes]]+Table2[[#This Row],[comments]]+Table2[[#This Row],[shares]])/Table2[[#This Row],[impressions]])</f>
        <v>7.2764227642276424E-3</v>
      </c>
      <c r="T95" s="27"/>
    </row>
    <row r="96" spans="1:20" ht="15.75">
      <c r="A96" s="23" t="s">
        <v>51</v>
      </c>
      <c r="B96" s="20" t="s">
        <v>43</v>
      </c>
      <c r="C96" s="20" t="s">
        <v>54</v>
      </c>
      <c r="D96" s="20" t="s">
        <v>46</v>
      </c>
      <c r="E96" s="20" t="s">
        <v>50</v>
      </c>
      <c r="F96" s="20">
        <v>48882</v>
      </c>
      <c r="G96" s="20">
        <v>377</v>
      </c>
      <c r="H96" s="20">
        <v>7</v>
      </c>
      <c r="I96" s="20">
        <v>7054.19</v>
      </c>
      <c r="J96" s="20">
        <v>4460.12</v>
      </c>
      <c r="K96" s="20">
        <v>184</v>
      </c>
      <c r="L96" s="20">
        <v>17</v>
      </c>
      <c r="M96" s="20">
        <v>15</v>
      </c>
      <c r="N96" s="29">
        <f>IF(Table2[[#This Row],[impressions]]=0,0,Table2[[#This Row],[spend_inr]]/Table2[[#This Row],[impressions]]*1000)</f>
        <v>144.31058467329487</v>
      </c>
      <c r="O96" s="31">
        <f>IF(Table2[[#This Row],[impressions]]=0,0,Table2[[#This Row],[clicks]]/Table2[[#This Row],[impressions]])</f>
        <v>7.7124503907368769E-3</v>
      </c>
      <c r="P96" s="32">
        <f>IF(Table2[[#This Row],[clicks]]=0,0,Table2[[#This Row],[spend_inr]]/Table2[[#This Row],[clicks]])</f>
        <v>18.711379310344828</v>
      </c>
      <c r="Q96" s="31">
        <f>IF(Table2[[#This Row],[clicks]]=0,0,Table2[[#This Row],[conversions]]/Table2[[#This Row],[clicks]])</f>
        <v>1.8567639257294429E-2</v>
      </c>
      <c r="R96" s="30">
        <f>IF(Table2[[#This Row],[spend_inr]]=0,0,(Table2[[#This Row],[revenue_inr]]-Table2[[#This Row],[spend_inr]])/Table2[[#This Row],[spend_inr]])</f>
        <v>-0.36773463714473242</v>
      </c>
      <c r="S96" s="31">
        <f>IF(Table2[[#This Row],[impressions]]=0,0,(Table2[[#This Row],[likes]]+Table2[[#This Row],[comments]]+Table2[[#This Row],[shares]])/Table2[[#This Row],[impressions]])</f>
        <v>4.4188044679022952E-3</v>
      </c>
      <c r="T96" s="27"/>
    </row>
    <row r="97" spans="1:20" ht="15.75">
      <c r="A97" s="23" t="s">
        <v>42</v>
      </c>
      <c r="B97" s="20" t="s">
        <v>44</v>
      </c>
      <c r="C97" s="20" t="s">
        <v>45</v>
      </c>
      <c r="D97" s="20" t="s">
        <v>46</v>
      </c>
      <c r="E97" s="20" t="s">
        <v>47</v>
      </c>
      <c r="F97" s="20">
        <v>15840</v>
      </c>
      <c r="G97" s="20">
        <v>162</v>
      </c>
      <c r="H97" s="20">
        <v>3</v>
      </c>
      <c r="I97" s="20">
        <v>7052.29</v>
      </c>
      <c r="J97" s="20">
        <v>3643.73</v>
      </c>
      <c r="K97" s="20">
        <v>66</v>
      </c>
      <c r="L97" s="20">
        <v>4</v>
      </c>
      <c r="M97" s="20">
        <v>3</v>
      </c>
      <c r="N97" s="29">
        <f>IF(Table2[[#This Row],[impressions]]=0,0,Table2[[#This Row],[spend_inr]]/Table2[[#This Row],[impressions]]*1000)</f>
        <v>445.22032828282823</v>
      </c>
      <c r="O97" s="31">
        <f>IF(Table2[[#This Row],[impressions]]=0,0,Table2[[#This Row],[clicks]]/Table2[[#This Row],[impressions]])</f>
        <v>1.0227272727272727E-2</v>
      </c>
      <c r="P97" s="32">
        <f>IF(Table2[[#This Row],[clicks]]=0,0,Table2[[#This Row],[spend_inr]]/Table2[[#This Row],[clicks]])</f>
        <v>43.532654320987653</v>
      </c>
      <c r="Q97" s="31">
        <f>IF(Table2[[#This Row],[clicks]]=0,0,Table2[[#This Row],[conversions]]/Table2[[#This Row],[clicks]])</f>
        <v>1.8518518518518517E-2</v>
      </c>
      <c r="R97" s="30">
        <f>IF(Table2[[#This Row],[spend_inr]]=0,0,(Table2[[#This Row],[revenue_inr]]-Table2[[#This Row],[spend_inr]])/Table2[[#This Row],[spend_inr]])</f>
        <v>-0.48332669246443355</v>
      </c>
      <c r="S97" s="31">
        <f>IF(Table2[[#This Row],[impressions]]=0,0,(Table2[[#This Row],[likes]]+Table2[[#This Row],[comments]]+Table2[[#This Row],[shares]])/Table2[[#This Row],[impressions]])</f>
        <v>4.6085858585858588E-3</v>
      </c>
      <c r="T97" s="27"/>
    </row>
    <row r="98" spans="1:20" ht="15.75">
      <c r="A98" s="23" t="s">
        <v>42</v>
      </c>
      <c r="B98" s="20" t="s">
        <v>38</v>
      </c>
      <c r="C98" s="20" t="s">
        <v>45</v>
      </c>
      <c r="D98" s="20" t="s">
        <v>40</v>
      </c>
      <c r="E98" s="20" t="s">
        <v>41</v>
      </c>
      <c r="F98" s="20">
        <v>55296</v>
      </c>
      <c r="G98" s="20">
        <v>459</v>
      </c>
      <c r="H98" s="20">
        <v>16</v>
      </c>
      <c r="I98" s="20">
        <v>7027.66</v>
      </c>
      <c r="J98" s="20">
        <v>9602.74</v>
      </c>
      <c r="K98" s="20">
        <v>194</v>
      </c>
      <c r="L98" s="20">
        <v>24</v>
      </c>
      <c r="M98" s="20">
        <v>14</v>
      </c>
      <c r="N98" s="29">
        <f>IF(Table2[[#This Row],[impressions]]=0,0,Table2[[#This Row],[spend_inr]]/Table2[[#This Row],[impressions]]*1000)</f>
        <v>127.09165219907406</v>
      </c>
      <c r="O98" s="31">
        <f>IF(Table2[[#This Row],[impressions]]=0,0,Table2[[#This Row],[clicks]]/Table2[[#This Row],[impressions]])</f>
        <v>8.30078125E-3</v>
      </c>
      <c r="P98" s="32">
        <f>IF(Table2[[#This Row],[clicks]]=0,0,Table2[[#This Row],[spend_inr]]/Table2[[#This Row],[clicks]])</f>
        <v>15.310806100217865</v>
      </c>
      <c r="Q98" s="31">
        <f>IF(Table2[[#This Row],[clicks]]=0,0,Table2[[#This Row],[conversions]]/Table2[[#This Row],[clicks]])</f>
        <v>3.4858387799564274E-2</v>
      </c>
      <c r="R98" s="30">
        <f>IF(Table2[[#This Row],[spend_inr]]=0,0,(Table2[[#This Row],[revenue_inr]]-Table2[[#This Row],[spend_inr]])/Table2[[#This Row],[spend_inr]])</f>
        <v>0.36642068625972229</v>
      </c>
      <c r="S98" s="31">
        <f>IF(Table2[[#This Row],[impressions]]=0,0,(Table2[[#This Row],[likes]]+Table2[[#This Row],[comments]]+Table2[[#This Row],[shares]])/Table2[[#This Row],[impressions]])</f>
        <v>4.1956018518518523E-3</v>
      </c>
      <c r="T98" s="27"/>
    </row>
    <row r="99" spans="1:20" ht="15.75">
      <c r="A99" s="23" t="s">
        <v>51</v>
      </c>
      <c r="B99" s="20" t="s">
        <v>48</v>
      </c>
      <c r="C99" s="20" t="s">
        <v>55</v>
      </c>
      <c r="D99" s="20" t="s">
        <v>40</v>
      </c>
      <c r="E99" s="20" t="s">
        <v>50</v>
      </c>
      <c r="F99" s="20">
        <v>17327</v>
      </c>
      <c r="G99" s="20">
        <v>224</v>
      </c>
      <c r="H99" s="20">
        <v>3</v>
      </c>
      <c r="I99" s="20">
        <v>7007.93</v>
      </c>
      <c r="J99" s="20">
        <v>4341.09</v>
      </c>
      <c r="K99" s="20">
        <v>74</v>
      </c>
      <c r="L99" s="20">
        <v>9</v>
      </c>
      <c r="M99" s="20">
        <v>7</v>
      </c>
      <c r="N99" s="29">
        <f>IF(Table2[[#This Row],[impressions]]=0,0,Table2[[#This Row],[spend_inr]]/Table2[[#This Row],[impressions]]*1000)</f>
        <v>404.45143417787273</v>
      </c>
      <c r="O99" s="31">
        <f>IF(Table2[[#This Row],[impressions]]=0,0,Table2[[#This Row],[clicks]]/Table2[[#This Row],[impressions]])</f>
        <v>1.2927800542505915E-2</v>
      </c>
      <c r="P99" s="32">
        <f>IF(Table2[[#This Row],[clicks]]=0,0,Table2[[#This Row],[spend_inr]]/Table2[[#This Row],[clicks]])</f>
        <v>31.285401785714289</v>
      </c>
      <c r="Q99" s="31">
        <f>IF(Table2[[#This Row],[clicks]]=0,0,Table2[[#This Row],[conversions]]/Table2[[#This Row],[clicks]])</f>
        <v>1.3392857142857142E-2</v>
      </c>
      <c r="R99" s="30">
        <f>IF(Table2[[#This Row],[spend_inr]]=0,0,(Table2[[#This Row],[revenue_inr]]-Table2[[#This Row],[spend_inr]])/Table2[[#This Row],[spend_inr]])</f>
        <v>-0.38054603855917513</v>
      </c>
      <c r="S99" s="31">
        <f>IF(Table2[[#This Row],[impressions]]=0,0,(Table2[[#This Row],[likes]]+Table2[[#This Row],[comments]]+Table2[[#This Row],[shares]])/Table2[[#This Row],[impressions]])</f>
        <v>5.1942055751139837E-3</v>
      </c>
      <c r="T99" s="27"/>
    </row>
    <row r="100" spans="1:20" ht="15.75">
      <c r="A100" s="23" t="s">
        <v>37</v>
      </c>
      <c r="B100" s="20" t="s">
        <v>38</v>
      </c>
      <c r="C100" s="20" t="s">
        <v>49</v>
      </c>
      <c r="D100" s="20" t="s">
        <v>46</v>
      </c>
      <c r="E100" s="20" t="s">
        <v>47</v>
      </c>
      <c r="F100" s="20">
        <v>17209</v>
      </c>
      <c r="G100" s="20">
        <v>226</v>
      </c>
      <c r="H100" s="20">
        <v>7</v>
      </c>
      <c r="I100" s="20">
        <v>7004.92</v>
      </c>
      <c r="J100" s="20">
        <v>4711.3500000000004</v>
      </c>
      <c r="K100" s="20">
        <v>72</v>
      </c>
      <c r="L100" s="20">
        <v>11</v>
      </c>
      <c r="M100" s="20">
        <v>6</v>
      </c>
      <c r="N100" s="29">
        <f>IF(Table2[[#This Row],[impressions]]=0,0,Table2[[#This Row],[spend_inr]]/Table2[[#This Row],[impressions]]*1000)</f>
        <v>407.04979952350516</v>
      </c>
      <c r="O100" s="31">
        <f>IF(Table2[[#This Row],[impressions]]=0,0,Table2[[#This Row],[clicks]]/Table2[[#This Row],[impressions]])</f>
        <v>1.3132663141379512E-2</v>
      </c>
      <c r="P100" s="32">
        <f>IF(Table2[[#This Row],[clicks]]=0,0,Table2[[#This Row],[spend_inr]]/Table2[[#This Row],[clicks]])</f>
        <v>30.995221238938054</v>
      </c>
      <c r="Q100" s="31">
        <f>IF(Table2[[#This Row],[clicks]]=0,0,Table2[[#This Row],[conversions]]/Table2[[#This Row],[clicks]])</f>
        <v>3.0973451327433628E-2</v>
      </c>
      <c r="R100" s="30">
        <f>IF(Table2[[#This Row],[spend_inr]]=0,0,(Table2[[#This Row],[revenue_inr]]-Table2[[#This Row],[spend_inr]])/Table2[[#This Row],[spend_inr]])</f>
        <v>-0.32742272574133602</v>
      </c>
      <c r="S100" s="31">
        <f>IF(Table2[[#This Row],[impressions]]=0,0,(Table2[[#This Row],[likes]]+Table2[[#This Row],[comments]]+Table2[[#This Row],[shares]])/Table2[[#This Row],[impressions]])</f>
        <v>5.1717124760299847E-3</v>
      </c>
      <c r="T100" s="27"/>
    </row>
    <row r="101" spans="1:20" ht="15.75">
      <c r="A101" s="23" t="s">
        <v>51</v>
      </c>
      <c r="B101" s="20" t="s">
        <v>44</v>
      </c>
      <c r="C101" s="20" t="s">
        <v>55</v>
      </c>
      <c r="D101" s="20" t="s">
        <v>40</v>
      </c>
      <c r="E101" s="20" t="s">
        <v>50</v>
      </c>
      <c r="F101" s="20">
        <v>24845</v>
      </c>
      <c r="G101" s="20">
        <v>373</v>
      </c>
      <c r="H101" s="20">
        <v>6</v>
      </c>
      <c r="I101" s="20">
        <v>6975.68</v>
      </c>
      <c r="J101" s="20">
        <v>3669.87</v>
      </c>
      <c r="K101" s="20">
        <v>132</v>
      </c>
      <c r="L101" s="20">
        <v>18</v>
      </c>
      <c r="M101" s="20">
        <v>14</v>
      </c>
      <c r="N101" s="29">
        <f>IF(Table2[[#This Row],[impressions]]=0,0,Table2[[#This Row],[spend_inr]]/Table2[[#This Row],[impressions]]*1000)</f>
        <v>280.7679613604347</v>
      </c>
      <c r="O101" s="31">
        <f>IF(Table2[[#This Row],[impressions]]=0,0,Table2[[#This Row],[clicks]]/Table2[[#This Row],[impressions]])</f>
        <v>1.5013081102837594E-2</v>
      </c>
      <c r="P101" s="32">
        <f>IF(Table2[[#This Row],[clicks]]=0,0,Table2[[#This Row],[spend_inr]]/Table2[[#This Row],[clicks]])</f>
        <v>18.701554959785522</v>
      </c>
      <c r="Q101" s="31">
        <f>IF(Table2[[#This Row],[clicks]]=0,0,Table2[[#This Row],[conversions]]/Table2[[#This Row],[clicks]])</f>
        <v>1.6085790884718499E-2</v>
      </c>
      <c r="R101" s="30">
        <f>IF(Table2[[#This Row],[spend_inr]]=0,0,(Table2[[#This Row],[revenue_inr]]-Table2[[#This Row],[spend_inr]])/Table2[[#This Row],[spend_inr]])</f>
        <v>-0.47390505298408186</v>
      </c>
      <c r="S101" s="31">
        <f>IF(Table2[[#This Row],[impressions]]=0,0,(Table2[[#This Row],[likes]]+Table2[[#This Row],[comments]]+Table2[[#This Row],[shares]])/Table2[[#This Row],[impressions]])</f>
        <v>6.6009257395854299E-3</v>
      </c>
      <c r="T101" s="27"/>
    </row>
    <row r="102" spans="1:20" ht="15.75">
      <c r="A102" s="23" t="s">
        <v>42</v>
      </c>
      <c r="B102" s="20" t="s">
        <v>48</v>
      </c>
      <c r="C102" s="20" t="s">
        <v>39</v>
      </c>
      <c r="D102" s="20" t="s">
        <v>46</v>
      </c>
      <c r="E102" s="20" t="s">
        <v>50</v>
      </c>
      <c r="F102" s="20">
        <v>0</v>
      </c>
      <c r="G102" s="20">
        <v>634</v>
      </c>
      <c r="H102" s="20">
        <v>9</v>
      </c>
      <c r="I102" s="20">
        <v>6961.95</v>
      </c>
      <c r="J102" s="20">
        <v>10745.01</v>
      </c>
      <c r="K102" s="20">
        <v>203</v>
      </c>
      <c r="L102" s="20">
        <v>0</v>
      </c>
      <c r="M102" s="20">
        <v>9</v>
      </c>
      <c r="N102" s="29">
        <f>IF(Table2[[#This Row],[impressions]]=0,0,Table2[[#This Row],[spend_inr]]/Table2[[#This Row],[impressions]]*1000)</f>
        <v>0</v>
      </c>
      <c r="O102" s="31">
        <f>IF(Table2[[#This Row],[impressions]]=0,0,Table2[[#This Row],[clicks]]/Table2[[#This Row],[impressions]])</f>
        <v>0</v>
      </c>
      <c r="P102" s="32">
        <f>IF(Table2[[#This Row],[clicks]]=0,0,Table2[[#This Row],[spend_inr]]/Table2[[#This Row],[clicks]])</f>
        <v>10.980993690851735</v>
      </c>
      <c r="Q102" s="31">
        <f>IF(Table2[[#This Row],[clicks]]=0,0,Table2[[#This Row],[conversions]]/Table2[[#This Row],[clicks]])</f>
        <v>1.4195583596214511E-2</v>
      </c>
      <c r="R102" s="30">
        <f>IF(Table2[[#This Row],[spend_inr]]=0,0,(Table2[[#This Row],[revenue_inr]]-Table2[[#This Row],[spend_inr]])/Table2[[#This Row],[spend_inr]])</f>
        <v>0.54339086031930717</v>
      </c>
      <c r="S102" s="31">
        <f>IF(Table2[[#This Row],[impressions]]=0,0,(Table2[[#This Row],[likes]]+Table2[[#This Row],[comments]]+Table2[[#This Row],[shares]])/Table2[[#This Row],[impressions]])</f>
        <v>0</v>
      </c>
      <c r="T102" s="27"/>
    </row>
    <row r="103" spans="1:20" ht="15.75">
      <c r="A103" s="23" t="s">
        <v>52</v>
      </c>
      <c r="B103" s="20" t="s">
        <v>48</v>
      </c>
      <c r="C103" s="20" t="s">
        <v>54</v>
      </c>
      <c r="D103" s="20" t="s">
        <v>40</v>
      </c>
      <c r="E103" s="20" t="s">
        <v>53</v>
      </c>
      <c r="F103" s="20">
        <v>32998</v>
      </c>
      <c r="G103" s="20">
        <v>1323</v>
      </c>
      <c r="H103" s="20">
        <v>44</v>
      </c>
      <c r="I103" s="20">
        <v>6930.1</v>
      </c>
      <c r="J103" s="20">
        <v>45430.27</v>
      </c>
      <c r="K103" s="20">
        <v>0</v>
      </c>
      <c r="L103" s="20">
        <v>0</v>
      </c>
      <c r="M103" s="20">
        <v>0</v>
      </c>
      <c r="N103" s="29">
        <f>IF(Table2[[#This Row],[impressions]]=0,0,Table2[[#This Row],[spend_inr]]/Table2[[#This Row],[impressions]]*1000)</f>
        <v>210.01575853082005</v>
      </c>
      <c r="O103" s="31">
        <f>IF(Table2[[#This Row],[impressions]]=0,0,Table2[[#This Row],[clicks]]/Table2[[#This Row],[impressions]])</f>
        <v>4.0093338990241832E-2</v>
      </c>
      <c r="P103" s="32">
        <f>IF(Table2[[#This Row],[clicks]]=0,0,Table2[[#This Row],[spend_inr]]/Table2[[#This Row],[clicks]])</f>
        <v>5.2381708238851097</v>
      </c>
      <c r="Q103" s="31">
        <f>IF(Table2[[#This Row],[clicks]]=0,0,Table2[[#This Row],[conversions]]/Table2[[#This Row],[clicks]])</f>
        <v>3.3257747543461828E-2</v>
      </c>
      <c r="R103" s="30">
        <f>IF(Table2[[#This Row],[spend_inr]]=0,0,(Table2[[#This Row],[revenue_inr]]-Table2[[#This Row],[spend_inr]])/Table2[[#This Row],[spend_inr]])</f>
        <v>5.5554999206360653</v>
      </c>
      <c r="S103" s="31">
        <f>IF(Table2[[#This Row],[impressions]]=0,0,(Table2[[#This Row],[likes]]+Table2[[#This Row],[comments]]+Table2[[#This Row],[shares]])/Table2[[#This Row],[impressions]])</f>
        <v>0</v>
      </c>
      <c r="T103" s="27"/>
    </row>
    <row r="104" spans="1:20" ht="15.75">
      <c r="A104" s="23" t="s">
        <v>52</v>
      </c>
      <c r="B104" s="20" t="s">
        <v>38</v>
      </c>
      <c r="C104" s="20" t="s">
        <v>49</v>
      </c>
      <c r="D104" s="20" t="s">
        <v>46</v>
      </c>
      <c r="E104" s="20" t="s">
        <v>53</v>
      </c>
      <c r="F104" s="20">
        <v>75858</v>
      </c>
      <c r="G104" s="20">
        <v>2684</v>
      </c>
      <c r="H104" s="20">
        <v>75</v>
      </c>
      <c r="I104" s="20">
        <v>6870.28</v>
      </c>
      <c r="J104" s="20">
        <v>112397.93</v>
      </c>
      <c r="K104" s="20">
        <v>0</v>
      </c>
      <c r="L104" s="20">
        <v>0</v>
      </c>
      <c r="M104" s="20">
        <v>0</v>
      </c>
      <c r="N104" s="29">
        <f>IF(Table2[[#This Row],[impressions]]=0,0,Table2[[#This Row],[spend_inr]]/Table2[[#This Row],[impressions]]*1000)</f>
        <v>90.567639537029706</v>
      </c>
      <c r="O104" s="31">
        <f>IF(Table2[[#This Row],[impressions]]=0,0,Table2[[#This Row],[clicks]]/Table2[[#This Row],[impressions]])</f>
        <v>3.5381897756334206E-2</v>
      </c>
      <c r="P104" s="32">
        <f>IF(Table2[[#This Row],[clicks]]=0,0,Table2[[#This Row],[spend_inr]]/Table2[[#This Row],[clicks]])</f>
        <v>2.5597168405365127</v>
      </c>
      <c r="Q104" s="31">
        <f>IF(Table2[[#This Row],[clicks]]=0,0,Table2[[#This Row],[conversions]]/Table2[[#This Row],[clicks]])</f>
        <v>2.7943368107302535E-2</v>
      </c>
      <c r="R104" s="30">
        <f>IF(Table2[[#This Row],[spend_inr]]=0,0,(Table2[[#This Row],[revenue_inr]]-Table2[[#This Row],[spend_inr]])/Table2[[#This Row],[spend_inr]])</f>
        <v>15.360021716727703</v>
      </c>
      <c r="S104" s="31">
        <f>IF(Table2[[#This Row],[impressions]]=0,0,(Table2[[#This Row],[likes]]+Table2[[#This Row],[comments]]+Table2[[#This Row],[shares]])/Table2[[#This Row],[impressions]])</f>
        <v>0</v>
      </c>
      <c r="T104" s="27"/>
    </row>
    <row r="105" spans="1:20" ht="15.75">
      <c r="A105" s="23" t="s">
        <v>42</v>
      </c>
      <c r="B105" s="20" t="s">
        <v>43</v>
      </c>
      <c r="C105" s="20" t="s">
        <v>45</v>
      </c>
      <c r="D105" s="20" t="s">
        <v>40</v>
      </c>
      <c r="E105" s="20" t="s">
        <v>41</v>
      </c>
      <c r="F105" s="20">
        <v>58847</v>
      </c>
      <c r="G105" s="20">
        <v>982</v>
      </c>
      <c r="H105" s="20">
        <v>21</v>
      </c>
      <c r="I105" s="20">
        <v>6827.73</v>
      </c>
      <c r="J105" s="20">
        <v>21252.1</v>
      </c>
      <c r="K105" s="20">
        <v>350</v>
      </c>
      <c r="L105" s="20">
        <v>38</v>
      </c>
      <c r="M105" s="20">
        <v>18</v>
      </c>
      <c r="N105" s="29">
        <f>IF(Table2[[#This Row],[impressions]]=0,0,Table2[[#This Row],[spend_inr]]/Table2[[#This Row],[impressions]]*1000)</f>
        <v>116.02511597872447</v>
      </c>
      <c r="O105" s="31">
        <f>IF(Table2[[#This Row],[impressions]]=0,0,Table2[[#This Row],[clicks]]/Table2[[#This Row],[impressions]])</f>
        <v>1.6687341750641495E-2</v>
      </c>
      <c r="P105" s="32">
        <f>IF(Table2[[#This Row],[clicks]]=0,0,Table2[[#This Row],[spend_inr]]/Table2[[#This Row],[clicks]])</f>
        <v>6.9528818737270868</v>
      </c>
      <c r="Q105" s="31">
        <f>IF(Table2[[#This Row],[clicks]]=0,0,Table2[[#This Row],[conversions]]/Table2[[#This Row],[clicks]])</f>
        <v>2.1384928716904276E-2</v>
      </c>
      <c r="R105" s="30">
        <f>IF(Table2[[#This Row],[spend_inr]]=0,0,(Table2[[#This Row],[revenue_inr]]-Table2[[#This Row],[spend_inr]])/Table2[[#This Row],[spend_inr]])</f>
        <v>2.112615759556983</v>
      </c>
      <c r="S105" s="31">
        <f>IF(Table2[[#This Row],[impressions]]=0,0,(Table2[[#This Row],[likes]]+Table2[[#This Row],[comments]]+Table2[[#This Row],[shares]])/Table2[[#This Row],[impressions]])</f>
        <v>6.8992472003670535E-3</v>
      </c>
      <c r="T105" s="27"/>
    </row>
    <row r="106" spans="1:20" ht="15.75">
      <c r="A106" s="23" t="s">
        <v>51</v>
      </c>
      <c r="B106" s="20" t="s">
        <v>43</v>
      </c>
      <c r="C106" s="20" t="s">
        <v>49</v>
      </c>
      <c r="D106" s="20" t="s">
        <v>46</v>
      </c>
      <c r="E106" s="20" t="s">
        <v>50</v>
      </c>
      <c r="F106" s="20">
        <v>34895</v>
      </c>
      <c r="G106" s="20">
        <v>433</v>
      </c>
      <c r="H106" s="20">
        <v>9</v>
      </c>
      <c r="I106" s="20">
        <v>6812.39</v>
      </c>
      <c r="J106" s="20">
        <v>8144.17</v>
      </c>
      <c r="K106" s="20">
        <v>197</v>
      </c>
      <c r="L106" s="20">
        <v>22</v>
      </c>
      <c r="M106" s="20">
        <v>6</v>
      </c>
      <c r="N106" s="29">
        <f>IF(Table2[[#This Row],[impressions]]=0,0,Table2[[#This Row],[spend_inr]]/Table2[[#This Row],[impressions]]*1000)</f>
        <v>195.22539045708555</v>
      </c>
      <c r="O106" s="31">
        <f>IF(Table2[[#This Row],[impressions]]=0,0,Table2[[#This Row],[clicks]]/Table2[[#This Row],[impressions]])</f>
        <v>1.2408654535033672E-2</v>
      </c>
      <c r="P106" s="32">
        <f>IF(Table2[[#This Row],[clicks]]=0,0,Table2[[#This Row],[spend_inr]]/Table2[[#This Row],[clicks]])</f>
        <v>15.733002309468823</v>
      </c>
      <c r="Q106" s="31">
        <f>IF(Table2[[#This Row],[clicks]]=0,0,Table2[[#This Row],[conversions]]/Table2[[#This Row],[clicks]])</f>
        <v>2.0785219399538105E-2</v>
      </c>
      <c r="R106" s="30">
        <f>IF(Table2[[#This Row],[spend_inr]]=0,0,(Table2[[#This Row],[revenue_inr]]-Table2[[#This Row],[spend_inr]])/Table2[[#This Row],[spend_inr]])</f>
        <v>0.19549379879895304</v>
      </c>
      <c r="S106" s="31">
        <f>IF(Table2[[#This Row],[impressions]]=0,0,(Table2[[#This Row],[likes]]+Table2[[#This Row],[comments]]+Table2[[#This Row],[shares]])/Table2[[#This Row],[impressions]])</f>
        <v>6.4479151740937093E-3</v>
      </c>
      <c r="T106" s="27"/>
    </row>
    <row r="107" spans="1:20" ht="15.75">
      <c r="A107" s="23" t="s">
        <v>51</v>
      </c>
      <c r="B107" s="20" t="s">
        <v>43</v>
      </c>
      <c r="C107" s="20" t="s">
        <v>54</v>
      </c>
      <c r="D107" s="20" t="s">
        <v>46</v>
      </c>
      <c r="E107" s="20" t="s">
        <v>50</v>
      </c>
      <c r="F107" s="20">
        <v>51219</v>
      </c>
      <c r="G107" s="20">
        <v>629</v>
      </c>
      <c r="H107" s="20">
        <v>11</v>
      </c>
      <c r="I107" s="20">
        <v>6763.57</v>
      </c>
      <c r="J107" s="20">
        <v>7237.66</v>
      </c>
      <c r="K107" s="20">
        <v>249</v>
      </c>
      <c r="L107" s="20">
        <v>14</v>
      </c>
      <c r="M107" s="20">
        <v>9</v>
      </c>
      <c r="N107" s="29">
        <f>IF(Table2[[#This Row],[impressions]]=0,0,Table2[[#This Row],[spend_inr]]/Table2[[#This Row],[impressions]]*1000)</f>
        <v>132.05197290068139</v>
      </c>
      <c r="O107" s="31">
        <f>IF(Table2[[#This Row],[impressions]]=0,0,Table2[[#This Row],[clicks]]/Table2[[#This Row],[impressions]])</f>
        <v>1.2280598996466155E-2</v>
      </c>
      <c r="P107" s="32">
        <f>IF(Table2[[#This Row],[clicks]]=0,0,Table2[[#This Row],[spend_inr]]/Table2[[#This Row],[clicks]])</f>
        <v>10.752893481717011</v>
      </c>
      <c r="Q107" s="31">
        <f>IF(Table2[[#This Row],[clicks]]=0,0,Table2[[#This Row],[conversions]]/Table2[[#This Row],[clicks]])</f>
        <v>1.7488076311605722E-2</v>
      </c>
      <c r="R107" s="30">
        <f>IF(Table2[[#This Row],[spend_inr]]=0,0,(Table2[[#This Row],[revenue_inr]]-Table2[[#This Row],[spend_inr]])/Table2[[#This Row],[spend_inr]])</f>
        <v>7.0094639369445447E-2</v>
      </c>
      <c r="S107" s="31">
        <f>IF(Table2[[#This Row],[impressions]]=0,0,(Table2[[#This Row],[likes]]+Table2[[#This Row],[comments]]+Table2[[#This Row],[shares]])/Table2[[#This Row],[impressions]])</f>
        <v>5.3105292957691484E-3</v>
      </c>
      <c r="T107" s="27"/>
    </row>
    <row r="108" spans="1:20" ht="15.75">
      <c r="A108" s="23" t="s">
        <v>42</v>
      </c>
      <c r="B108" s="20" t="s">
        <v>44</v>
      </c>
      <c r="C108" s="20" t="s">
        <v>45</v>
      </c>
      <c r="D108" s="20" t="s">
        <v>46</v>
      </c>
      <c r="E108" s="20" t="s">
        <v>50</v>
      </c>
      <c r="F108" s="20">
        <v>62630</v>
      </c>
      <c r="G108" s="20">
        <v>781</v>
      </c>
      <c r="H108" s="20">
        <v>0</v>
      </c>
      <c r="I108" s="20">
        <v>6731.61</v>
      </c>
      <c r="J108" s="20">
        <v>17536.3</v>
      </c>
      <c r="K108" s="20">
        <v>254</v>
      </c>
      <c r="L108" s="20">
        <v>32</v>
      </c>
      <c r="M108" s="20">
        <v>14</v>
      </c>
      <c r="N108" s="29">
        <f>IF(Table2[[#This Row],[impressions]]=0,0,Table2[[#This Row],[spend_inr]]/Table2[[#This Row],[impressions]]*1000)</f>
        <v>107.48219703017722</v>
      </c>
      <c r="O108" s="31">
        <f>IF(Table2[[#This Row],[impressions]]=0,0,Table2[[#This Row],[clicks]]/Table2[[#This Row],[impressions]])</f>
        <v>1.2470062270477407E-2</v>
      </c>
      <c r="P108" s="32">
        <f>IF(Table2[[#This Row],[clicks]]=0,0,Table2[[#This Row],[spend_inr]]/Table2[[#This Row],[clicks]])</f>
        <v>8.6192189500640204</v>
      </c>
      <c r="Q108" s="31">
        <f>IF(Table2[[#This Row],[clicks]]=0,0,Table2[[#This Row],[conversions]]/Table2[[#This Row],[clicks]])</f>
        <v>0</v>
      </c>
      <c r="R108" s="30">
        <f>IF(Table2[[#This Row],[spend_inr]]=0,0,(Table2[[#This Row],[revenue_inr]]-Table2[[#This Row],[spend_inr]])/Table2[[#This Row],[spend_inr]])</f>
        <v>1.6050677326820775</v>
      </c>
      <c r="S108" s="31">
        <f>IF(Table2[[#This Row],[impressions]]=0,0,(Table2[[#This Row],[likes]]+Table2[[#This Row],[comments]]+Table2[[#This Row],[shares]])/Table2[[#This Row],[impressions]])</f>
        <v>4.7900367236148808E-3</v>
      </c>
      <c r="T108" s="27"/>
    </row>
    <row r="109" spans="1:20" ht="15.75">
      <c r="A109" s="23" t="s">
        <v>42</v>
      </c>
      <c r="B109" s="20" t="s">
        <v>48</v>
      </c>
      <c r="C109" s="20" t="s">
        <v>49</v>
      </c>
      <c r="D109" s="20" t="s">
        <v>40</v>
      </c>
      <c r="E109" s="20" t="s">
        <v>50</v>
      </c>
      <c r="F109" s="20">
        <v>0</v>
      </c>
      <c r="G109" s="20">
        <v>172</v>
      </c>
      <c r="H109" s="20">
        <v>1</v>
      </c>
      <c r="I109" s="20">
        <v>6718.94</v>
      </c>
      <c r="J109" s="20">
        <v>1117.77</v>
      </c>
      <c r="K109" s="20">
        <v>69</v>
      </c>
      <c r="L109" s="20">
        <v>7</v>
      </c>
      <c r="M109" s="20">
        <v>4</v>
      </c>
      <c r="N109" s="29">
        <f>IF(Table2[[#This Row],[impressions]]=0,0,Table2[[#This Row],[spend_inr]]/Table2[[#This Row],[impressions]]*1000)</f>
        <v>0</v>
      </c>
      <c r="O109" s="31">
        <f>IF(Table2[[#This Row],[impressions]]=0,0,Table2[[#This Row],[clicks]]/Table2[[#This Row],[impressions]])</f>
        <v>0</v>
      </c>
      <c r="P109" s="32">
        <f>IF(Table2[[#This Row],[clicks]]=0,0,Table2[[#This Row],[spend_inr]]/Table2[[#This Row],[clicks]])</f>
        <v>39.063604651162791</v>
      </c>
      <c r="Q109" s="31">
        <f>IF(Table2[[#This Row],[clicks]]=0,0,Table2[[#This Row],[conversions]]/Table2[[#This Row],[clicks]])</f>
        <v>5.8139534883720929E-3</v>
      </c>
      <c r="R109" s="30">
        <f>IF(Table2[[#This Row],[spend_inr]]=0,0,(Table2[[#This Row],[revenue_inr]]-Table2[[#This Row],[spend_inr]])/Table2[[#This Row],[spend_inr]])</f>
        <v>-0.83363893709424408</v>
      </c>
      <c r="S109" s="31">
        <f>IF(Table2[[#This Row],[impressions]]=0,0,(Table2[[#This Row],[likes]]+Table2[[#This Row],[comments]]+Table2[[#This Row],[shares]])/Table2[[#This Row],[impressions]])</f>
        <v>0</v>
      </c>
      <c r="T109" s="27"/>
    </row>
    <row r="110" spans="1:20" ht="15.75">
      <c r="A110" s="23" t="s">
        <v>42</v>
      </c>
      <c r="B110" s="20" t="s">
        <v>38</v>
      </c>
      <c r="C110" s="20" t="s">
        <v>55</v>
      </c>
      <c r="D110" s="20" t="s">
        <v>40</v>
      </c>
      <c r="E110" s="20" t="s">
        <v>47</v>
      </c>
      <c r="F110" s="20">
        <v>70879</v>
      </c>
      <c r="G110" s="20">
        <v>852</v>
      </c>
      <c r="H110" s="20">
        <v>22</v>
      </c>
      <c r="I110" s="20">
        <v>6662.85</v>
      </c>
      <c r="J110" s="20">
        <v>16520.12</v>
      </c>
      <c r="K110" s="20">
        <v>405</v>
      </c>
      <c r="L110" s="20">
        <v>26</v>
      </c>
      <c r="M110" s="20">
        <v>26</v>
      </c>
      <c r="N110" s="29">
        <f>IF(Table2[[#This Row],[impressions]]=0,0,Table2[[#This Row],[spend_inr]]/Table2[[#This Row],[impressions]]*1000)</f>
        <v>94.003160315467213</v>
      </c>
      <c r="O110" s="31">
        <f>IF(Table2[[#This Row],[impressions]]=0,0,Table2[[#This Row],[clicks]]/Table2[[#This Row],[impressions]])</f>
        <v>1.2020485616332059E-2</v>
      </c>
      <c r="P110" s="32">
        <f>IF(Table2[[#This Row],[clicks]]=0,0,Table2[[#This Row],[spend_inr]]/Table2[[#This Row],[clicks]])</f>
        <v>7.8202464788732398</v>
      </c>
      <c r="Q110" s="31">
        <f>IF(Table2[[#This Row],[clicks]]=0,0,Table2[[#This Row],[conversions]]/Table2[[#This Row],[clicks]])</f>
        <v>2.5821596244131457E-2</v>
      </c>
      <c r="R110" s="30">
        <f>IF(Table2[[#This Row],[spend_inr]]=0,0,(Table2[[#This Row],[revenue_inr]]-Table2[[#This Row],[spend_inr]])/Table2[[#This Row],[spend_inr]])</f>
        <v>1.4794374779561297</v>
      </c>
      <c r="S110" s="31">
        <f>IF(Table2[[#This Row],[impressions]]=0,0,(Table2[[#This Row],[likes]]+Table2[[#This Row],[comments]]+Table2[[#This Row],[shares]])/Table2[[#This Row],[impressions]])</f>
        <v>6.4476078951452472E-3</v>
      </c>
      <c r="T110" s="27"/>
    </row>
    <row r="111" spans="1:20" ht="15.75">
      <c r="A111" s="23" t="s">
        <v>51</v>
      </c>
      <c r="B111" s="20" t="s">
        <v>43</v>
      </c>
      <c r="C111" s="20" t="s">
        <v>39</v>
      </c>
      <c r="D111" s="20" t="s">
        <v>40</v>
      </c>
      <c r="E111" s="20" t="s">
        <v>50</v>
      </c>
      <c r="F111" s="20">
        <v>51577</v>
      </c>
      <c r="G111" s="20">
        <v>668</v>
      </c>
      <c r="H111" s="20">
        <v>11</v>
      </c>
      <c r="I111" s="20">
        <v>6656.28</v>
      </c>
      <c r="J111" s="20">
        <v>14258.43</v>
      </c>
      <c r="K111" s="20">
        <v>253</v>
      </c>
      <c r="L111" s="20">
        <v>31</v>
      </c>
      <c r="M111" s="20">
        <v>18</v>
      </c>
      <c r="N111" s="29">
        <f>IF(Table2[[#This Row],[impressions]]=0,0,Table2[[#This Row],[spend_inr]]/Table2[[#This Row],[impressions]]*1000)</f>
        <v>129.05519902282026</v>
      </c>
      <c r="O111" s="31">
        <f>IF(Table2[[#This Row],[impressions]]=0,0,Table2[[#This Row],[clicks]]/Table2[[#This Row],[impressions]])</f>
        <v>1.2951509393722008E-2</v>
      </c>
      <c r="P111" s="32">
        <f>IF(Table2[[#This Row],[clicks]]=0,0,Table2[[#This Row],[spend_inr]]/Table2[[#This Row],[clicks]])</f>
        <v>9.9644910179640718</v>
      </c>
      <c r="Q111" s="31">
        <f>IF(Table2[[#This Row],[clicks]]=0,0,Table2[[#This Row],[conversions]]/Table2[[#This Row],[clicks]])</f>
        <v>1.6467065868263474E-2</v>
      </c>
      <c r="R111" s="30">
        <f>IF(Table2[[#This Row],[spend_inr]]=0,0,(Table2[[#This Row],[revenue_inr]]-Table2[[#This Row],[spend_inr]])/Table2[[#This Row],[spend_inr]])</f>
        <v>1.1421018947520238</v>
      </c>
      <c r="S111" s="31">
        <f>IF(Table2[[#This Row],[impressions]]=0,0,(Table2[[#This Row],[likes]]+Table2[[#This Row],[comments]]+Table2[[#This Row],[shares]])/Table2[[#This Row],[impressions]])</f>
        <v>5.8553231091377942E-3</v>
      </c>
      <c r="T111" s="27"/>
    </row>
    <row r="112" spans="1:20" ht="15.75">
      <c r="A112" s="23" t="s">
        <v>37</v>
      </c>
      <c r="B112" s="20" t="s">
        <v>48</v>
      </c>
      <c r="C112" s="20" t="s">
        <v>39</v>
      </c>
      <c r="D112" s="20" t="s">
        <v>40</v>
      </c>
      <c r="E112" s="20" t="s">
        <v>47</v>
      </c>
      <c r="F112" s="20">
        <v>46369</v>
      </c>
      <c r="G112" s="20">
        <v>831</v>
      </c>
      <c r="H112" s="20">
        <v>25</v>
      </c>
      <c r="I112" s="20">
        <v>6648.67</v>
      </c>
      <c r="J112" s="20">
        <v>12931.69</v>
      </c>
      <c r="K112" s="20">
        <v>331</v>
      </c>
      <c r="L112" s="20">
        <v>39</v>
      </c>
      <c r="M112" s="20">
        <v>9</v>
      </c>
      <c r="N112" s="29">
        <f>IF(Table2[[#This Row],[impressions]]=0,0,Table2[[#This Row],[spend_inr]]/Table2[[#This Row],[impressions]]*1000)</f>
        <v>143.3860984709612</v>
      </c>
      <c r="O112" s="31">
        <f>IF(Table2[[#This Row],[impressions]]=0,0,Table2[[#This Row],[clicks]]/Table2[[#This Row],[impressions]])</f>
        <v>1.7921456145269469E-2</v>
      </c>
      <c r="P112" s="32">
        <f>IF(Table2[[#This Row],[clicks]]=0,0,Table2[[#This Row],[spend_inr]]/Table2[[#This Row],[clicks]])</f>
        <v>8.0008062575210595</v>
      </c>
      <c r="Q112" s="31">
        <f>IF(Table2[[#This Row],[clicks]]=0,0,Table2[[#This Row],[conversions]]/Table2[[#This Row],[clicks]])</f>
        <v>3.0084235860409144E-2</v>
      </c>
      <c r="R112" s="30">
        <f>IF(Table2[[#This Row],[spend_inr]]=0,0,(Table2[[#This Row],[revenue_inr]]-Table2[[#This Row],[spend_inr]])/Table2[[#This Row],[spend_inr]])</f>
        <v>0.94500403840166536</v>
      </c>
      <c r="S112" s="31">
        <f>IF(Table2[[#This Row],[impressions]]=0,0,(Table2[[#This Row],[likes]]+Table2[[#This Row],[comments]]+Table2[[#This Row],[shares]])/Table2[[#This Row],[impressions]])</f>
        <v>8.1735642347257869E-3</v>
      </c>
      <c r="T112" s="27"/>
    </row>
    <row r="113" spans="1:20" ht="15.75">
      <c r="A113" s="23" t="s">
        <v>42</v>
      </c>
      <c r="B113" s="20" t="s">
        <v>48</v>
      </c>
      <c r="C113" s="20" t="s">
        <v>45</v>
      </c>
      <c r="D113" s="20" t="s">
        <v>40</v>
      </c>
      <c r="E113" s="20" t="s">
        <v>50</v>
      </c>
      <c r="F113" s="20">
        <v>67629</v>
      </c>
      <c r="G113" s="20">
        <v>941</v>
      </c>
      <c r="H113" s="20">
        <v>10</v>
      </c>
      <c r="I113" s="20">
        <v>6639.6</v>
      </c>
      <c r="J113" s="20">
        <v>10194.11</v>
      </c>
      <c r="K113" s="20">
        <v>307</v>
      </c>
      <c r="L113" s="20">
        <v>54</v>
      </c>
      <c r="M113" s="20">
        <v>15</v>
      </c>
      <c r="N113" s="29">
        <f>IF(Table2[[#This Row],[impressions]]=0,0,Table2[[#This Row],[spend_inr]]/Table2[[#This Row],[impressions]]*1000)</f>
        <v>98.176817637404071</v>
      </c>
      <c r="O113" s="31">
        <f>IF(Table2[[#This Row],[impressions]]=0,0,Table2[[#This Row],[clicks]]/Table2[[#This Row],[impressions]])</f>
        <v>1.3914149255496902E-2</v>
      </c>
      <c r="P113" s="32">
        <f>IF(Table2[[#This Row],[clicks]]=0,0,Table2[[#This Row],[spend_inr]]/Table2[[#This Row],[clicks]])</f>
        <v>7.0558979808714142</v>
      </c>
      <c r="Q113" s="31">
        <f>IF(Table2[[#This Row],[clicks]]=0,0,Table2[[#This Row],[conversions]]/Table2[[#This Row],[clicks]])</f>
        <v>1.0626992561105207E-2</v>
      </c>
      <c r="R113" s="30">
        <f>IF(Table2[[#This Row],[spend_inr]]=0,0,(Table2[[#This Row],[revenue_inr]]-Table2[[#This Row],[spend_inr]])/Table2[[#This Row],[spend_inr]])</f>
        <v>0.53535002108560759</v>
      </c>
      <c r="S113" s="31">
        <f>IF(Table2[[#This Row],[impressions]]=0,0,(Table2[[#This Row],[likes]]+Table2[[#This Row],[comments]]+Table2[[#This Row],[shares]])/Table2[[#This Row],[impressions]])</f>
        <v>5.5597450797734696E-3</v>
      </c>
      <c r="T113" s="27"/>
    </row>
    <row r="114" spans="1:20" ht="15.75">
      <c r="A114" s="23" t="s">
        <v>52</v>
      </c>
      <c r="B114" s="20" t="s">
        <v>44</v>
      </c>
      <c r="C114" s="20" t="s">
        <v>45</v>
      </c>
      <c r="D114" s="20" t="s">
        <v>40</v>
      </c>
      <c r="E114" s="20" t="s">
        <v>56</v>
      </c>
      <c r="F114" s="20">
        <v>72491</v>
      </c>
      <c r="G114" s="20">
        <v>644</v>
      </c>
      <c r="H114" s="20">
        <v>17</v>
      </c>
      <c r="I114" s="20">
        <v>6611.81</v>
      </c>
      <c r="J114" s="20">
        <v>11397.64</v>
      </c>
      <c r="K114" s="20">
        <v>0</v>
      </c>
      <c r="L114" s="20">
        <v>0</v>
      </c>
      <c r="M114" s="20">
        <v>0</v>
      </c>
      <c r="N114" s="29">
        <f>IF(Table2[[#This Row],[impressions]]=0,0,Table2[[#This Row],[spend_inr]]/Table2[[#This Row],[impressions]]*1000)</f>
        <v>91.208701769874892</v>
      </c>
      <c r="O114" s="31">
        <f>IF(Table2[[#This Row],[impressions]]=0,0,Table2[[#This Row],[clicks]]/Table2[[#This Row],[impressions]])</f>
        <v>8.8838614448690182E-3</v>
      </c>
      <c r="P114" s="32">
        <f>IF(Table2[[#This Row],[clicks]]=0,0,Table2[[#This Row],[spend_inr]]/Table2[[#This Row],[clicks]])</f>
        <v>10.266785714285716</v>
      </c>
      <c r="Q114" s="31">
        <f>IF(Table2[[#This Row],[clicks]]=0,0,Table2[[#This Row],[conversions]]/Table2[[#This Row],[clicks]])</f>
        <v>2.6397515527950312E-2</v>
      </c>
      <c r="R114" s="30">
        <f>IF(Table2[[#This Row],[spend_inr]]=0,0,(Table2[[#This Row],[revenue_inr]]-Table2[[#This Row],[spend_inr]])/Table2[[#This Row],[spend_inr]])</f>
        <v>0.72383053959505772</v>
      </c>
      <c r="S114" s="31">
        <f>IF(Table2[[#This Row],[impressions]]=0,0,(Table2[[#This Row],[likes]]+Table2[[#This Row],[comments]]+Table2[[#This Row],[shares]])/Table2[[#This Row],[impressions]])</f>
        <v>0</v>
      </c>
      <c r="T114" s="27"/>
    </row>
    <row r="115" spans="1:20" ht="15.75">
      <c r="A115" s="23" t="s">
        <v>51</v>
      </c>
      <c r="B115" s="20" t="s">
        <v>43</v>
      </c>
      <c r="C115" s="20" t="s">
        <v>54</v>
      </c>
      <c r="D115" s="20" t="s">
        <v>40</v>
      </c>
      <c r="E115" s="20" t="s">
        <v>50</v>
      </c>
      <c r="F115" s="20">
        <v>37251</v>
      </c>
      <c r="G115" s="20">
        <v>440</v>
      </c>
      <c r="H115" s="20">
        <v>10</v>
      </c>
      <c r="I115" s="20">
        <v>6596.87</v>
      </c>
      <c r="J115" s="20">
        <v>7049.07</v>
      </c>
      <c r="K115" s="20">
        <v>206</v>
      </c>
      <c r="L115" s="20">
        <v>23</v>
      </c>
      <c r="M115" s="20">
        <v>9</v>
      </c>
      <c r="N115" s="29">
        <f>IF(Table2[[#This Row],[impressions]]=0,0,Table2[[#This Row],[spend_inr]]/Table2[[#This Row],[impressions]]*1000)</f>
        <v>177.09242704893828</v>
      </c>
      <c r="O115" s="31">
        <f>IF(Table2[[#This Row],[impressions]]=0,0,Table2[[#This Row],[clicks]]/Table2[[#This Row],[impressions]])</f>
        <v>1.1811763442592145E-2</v>
      </c>
      <c r="P115" s="32">
        <f>IF(Table2[[#This Row],[clicks]]=0,0,Table2[[#This Row],[spend_inr]]/Table2[[#This Row],[clicks]])</f>
        <v>14.992886363636364</v>
      </c>
      <c r="Q115" s="31">
        <f>IF(Table2[[#This Row],[clicks]]=0,0,Table2[[#This Row],[conversions]]/Table2[[#This Row],[clicks]])</f>
        <v>2.2727272727272728E-2</v>
      </c>
      <c r="R115" s="30">
        <f>IF(Table2[[#This Row],[spend_inr]]=0,0,(Table2[[#This Row],[revenue_inr]]-Table2[[#This Row],[spend_inr]])/Table2[[#This Row],[spend_inr]])</f>
        <v>6.8547659723474888E-2</v>
      </c>
      <c r="S115" s="31">
        <f>IF(Table2[[#This Row],[impressions]]=0,0,(Table2[[#This Row],[likes]]+Table2[[#This Row],[comments]]+Table2[[#This Row],[shares]])/Table2[[#This Row],[impressions]])</f>
        <v>6.3890902257657516E-3</v>
      </c>
      <c r="T115" s="27"/>
    </row>
    <row r="116" spans="1:20" ht="15.75">
      <c r="A116" s="23" t="s">
        <v>51</v>
      </c>
      <c r="B116" s="20" t="s">
        <v>48</v>
      </c>
      <c r="C116" s="20" t="s">
        <v>49</v>
      </c>
      <c r="D116" s="20" t="s">
        <v>40</v>
      </c>
      <c r="E116" s="20" t="s">
        <v>50</v>
      </c>
      <c r="F116" s="20">
        <v>26597</v>
      </c>
      <c r="G116" s="20">
        <v>338</v>
      </c>
      <c r="H116" s="20">
        <v>4</v>
      </c>
      <c r="I116" s="20">
        <v>6563.98</v>
      </c>
      <c r="J116" s="20">
        <v>4069.98</v>
      </c>
      <c r="K116" s="20">
        <v>115</v>
      </c>
      <c r="L116" s="20">
        <v>18</v>
      </c>
      <c r="M116" s="20">
        <v>9</v>
      </c>
      <c r="N116" s="29">
        <f>IF(Table2[[#This Row],[impressions]]=0,0,Table2[[#This Row],[spend_inr]]/Table2[[#This Row],[impressions]]*1000)</f>
        <v>246.79399932323193</v>
      </c>
      <c r="O116" s="31">
        <f>IF(Table2[[#This Row],[impressions]]=0,0,Table2[[#This Row],[clicks]]/Table2[[#This Row],[impressions]])</f>
        <v>1.2708200172951836E-2</v>
      </c>
      <c r="P116" s="32">
        <f>IF(Table2[[#This Row],[clicks]]=0,0,Table2[[#This Row],[spend_inr]]/Table2[[#This Row],[clicks]])</f>
        <v>19.420059171597632</v>
      </c>
      <c r="Q116" s="31">
        <f>IF(Table2[[#This Row],[clicks]]=0,0,Table2[[#This Row],[conversions]]/Table2[[#This Row],[clicks]])</f>
        <v>1.1834319526627219E-2</v>
      </c>
      <c r="R116" s="30">
        <f>IF(Table2[[#This Row],[spend_inr]]=0,0,(Table2[[#This Row],[revenue_inr]]-Table2[[#This Row],[spend_inr]])/Table2[[#This Row],[spend_inr]])</f>
        <v>-0.37995240692384796</v>
      </c>
      <c r="S116" s="31">
        <f>IF(Table2[[#This Row],[impressions]]=0,0,(Table2[[#This Row],[likes]]+Table2[[#This Row],[comments]]+Table2[[#This Row],[shares]])/Table2[[#This Row],[impressions]])</f>
        <v>5.3389480016543221E-3</v>
      </c>
      <c r="T116" s="27"/>
    </row>
    <row r="117" spans="1:20" ht="15.75">
      <c r="A117" s="23" t="s">
        <v>42</v>
      </c>
      <c r="B117" s="20" t="s">
        <v>43</v>
      </c>
      <c r="C117" s="20" t="s">
        <v>39</v>
      </c>
      <c r="D117" s="20" t="s">
        <v>40</v>
      </c>
      <c r="E117" s="20" t="s">
        <v>47</v>
      </c>
      <c r="F117" s="20">
        <v>62388</v>
      </c>
      <c r="G117" s="20">
        <v>424</v>
      </c>
      <c r="H117" s="20">
        <v>7</v>
      </c>
      <c r="I117" s="20">
        <v>6537.47</v>
      </c>
      <c r="J117" s="20">
        <v>6970.71</v>
      </c>
      <c r="K117" s="20">
        <v>200</v>
      </c>
      <c r="L117" s="20">
        <v>19</v>
      </c>
      <c r="M117" s="20">
        <v>13</v>
      </c>
      <c r="N117" s="29">
        <f>IF(Table2[[#This Row],[impressions]]=0,0,Table2[[#This Row],[spend_inr]]/Table2[[#This Row],[impressions]]*1000)</f>
        <v>104.78729883952043</v>
      </c>
      <c r="O117" s="31">
        <f>IF(Table2[[#This Row],[impressions]]=0,0,Table2[[#This Row],[clicks]]/Table2[[#This Row],[impressions]])</f>
        <v>6.7961787523241647E-3</v>
      </c>
      <c r="P117" s="32">
        <f>IF(Table2[[#This Row],[clicks]]=0,0,Table2[[#This Row],[spend_inr]]/Table2[[#This Row],[clicks]])</f>
        <v>15.418561320754717</v>
      </c>
      <c r="Q117" s="31">
        <f>IF(Table2[[#This Row],[clicks]]=0,0,Table2[[#This Row],[conversions]]/Table2[[#This Row],[clicks]])</f>
        <v>1.6509433962264151E-2</v>
      </c>
      <c r="R117" s="30">
        <f>IF(Table2[[#This Row],[spend_inr]]=0,0,(Table2[[#This Row],[revenue_inr]]-Table2[[#This Row],[spend_inr]])/Table2[[#This Row],[spend_inr]])</f>
        <v>6.6270284987923422E-2</v>
      </c>
      <c r="S117" s="31">
        <f>IF(Table2[[#This Row],[impressions]]=0,0,(Table2[[#This Row],[likes]]+Table2[[#This Row],[comments]]+Table2[[#This Row],[shares]])/Table2[[#This Row],[impressions]])</f>
        <v>3.7186638456113354E-3</v>
      </c>
      <c r="T117" s="27"/>
    </row>
    <row r="118" spans="1:20" ht="15.75">
      <c r="A118" s="23" t="s">
        <v>37</v>
      </c>
      <c r="B118" s="20" t="s">
        <v>48</v>
      </c>
      <c r="C118" s="20" t="s">
        <v>39</v>
      </c>
      <c r="D118" s="20" t="s">
        <v>40</v>
      </c>
      <c r="E118" s="20" t="s">
        <v>50</v>
      </c>
      <c r="F118" s="20">
        <v>54983</v>
      </c>
      <c r="G118" s="20">
        <v>850</v>
      </c>
      <c r="H118" s="20">
        <v>36</v>
      </c>
      <c r="I118" s="20">
        <v>6505.56</v>
      </c>
      <c r="J118" s="20">
        <v>45315.839999999997</v>
      </c>
      <c r="K118" s="20">
        <v>294</v>
      </c>
      <c r="L118" s="20">
        <v>43</v>
      </c>
      <c r="M118" s="20">
        <v>28</v>
      </c>
      <c r="N118" s="29">
        <f>IF(Table2[[#This Row],[impressions]]=0,0,Table2[[#This Row],[spend_inr]]/Table2[[#This Row],[impressions]]*1000)</f>
        <v>118.31948056672063</v>
      </c>
      <c r="O118" s="31">
        <f>IF(Table2[[#This Row],[impressions]]=0,0,Table2[[#This Row],[clicks]]/Table2[[#This Row],[impressions]])</f>
        <v>1.5459323790989942E-2</v>
      </c>
      <c r="P118" s="32">
        <f>IF(Table2[[#This Row],[clicks]]=0,0,Table2[[#This Row],[spend_inr]]/Table2[[#This Row],[clicks]])</f>
        <v>7.6536000000000008</v>
      </c>
      <c r="Q118" s="31">
        <f>IF(Table2[[#This Row],[clicks]]=0,0,Table2[[#This Row],[conversions]]/Table2[[#This Row],[clicks]])</f>
        <v>4.2352941176470586E-2</v>
      </c>
      <c r="R118" s="30">
        <f>IF(Table2[[#This Row],[spend_inr]]=0,0,(Table2[[#This Row],[revenue_inr]]-Table2[[#This Row],[spend_inr]])/Table2[[#This Row],[spend_inr]])</f>
        <v>5.965709331710106</v>
      </c>
      <c r="S118" s="31">
        <f>IF(Table2[[#This Row],[impressions]]=0,0,(Table2[[#This Row],[likes]]+Table2[[#This Row],[comments]]+Table2[[#This Row],[shares]])/Table2[[#This Row],[impressions]])</f>
        <v>6.6384155102486219E-3</v>
      </c>
      <c r="T118" s="27"/>
    </row>
    <row r="119" spans="1:20" ht="15.75">
      <c r="A119" s="23" t="s">
        <v>42</v>
      </c>
      <c r="B119" s="20" t="s">
        <v>38</v>
      </c>
      <c r="C119" s="20" t="s">
        <v>39</v>
      </c>
      <c r="D119" s="20" t="s">
        <v>40</v>
      </c>
      <c r="E119" s="20" t="s">
        <v>41</v>
      </c>
      <c r="F119" s="20">
        <v>56807</v>
      </c>
      <c r="G119" s="20">
        <v>277</v>
      </c>
      <c r="H119" s="20">
        <v>8</v>
      </c>
      <c r="I119" s="20">
        <v>6488.46</v>
      </c>
      <c r="J119" s="20">
        <v>10381.73</v>
      </c>
      <c r="K119" s="20">
        <v>99</v>
      </c>
      <c r="L119" s="20">
        <v>6</v>
      </c>
      <c r="M119" s="20">
        <v>10</v>
      </c>
      <c r="N119" s="29">
        <f>IF(Table2[[#This Row],[impressions]]=0,0,Table2[[#This Row],[spend_inr]]/Table2[[#This Row],[impressions]]*1000)</f>
        <v>114.21937437287659</v>
      </c>
      <c r="O119" s="31">
        <f>IF(Table2[[#This Row],[impressions]]=0,0,Table2[[#This Row],[clicks]]/Table2[[#This Row],[impressions]])</f>
        <v>4.8761596282148323E-3</v>
      </c>
      <c r="P119" s="32">
        <f>IF(Table2[[#This Row],[clicks]]=0,0,Table2[[#This Row],[spend_inr]]/Table2[[#This Row],[clicks]])</f>
        <v>23.424043321299639</v>
      </c>
      <c r="Q119" s="31">
        <f>IF(Table2[[#This Row],[clicks]]=0,0,Table2[[#This Row],[conversions]]/Table2[[#This Row],[clicks]])</f>
        <v>2.8880866425992781E-2</v>
      </c>
      <c r="R119" s="30">
        <f>IF(Table2[[#This Row],[spend_inr]]=0,0,(Table2[[#This Row],[revenue_inr]]-Table2[[#This Row],[spend_inr]])/Table2[[#This Row],[spend_inr]])</f>
        <v>0.60002989923649053</v>
      </c>
      <c r="S119" s="31">
        <f>IF(Table2[[#This Row],[impressions]]=0,0,(Table2[[#This Row],[likes]]+Table2[[#This Row],[comments]]+Table2[[#This Row],[shares]])/Table2[[#This Row],[impressions]])</f>
        <v>2.0243984016054361E-3</v>
      </c>
      <c r="T119" s="27"/>
    </row>
    <row r="120" spans="1:20" ht="15.75">
      <c r="A120" s="23" t="s">
        <v>42</v>
      </c>
      <c r="B120" s="20" t="s">
        <v>48</v>
      </c>
      <c r="C120" s="20" t="s">
        <v>49</v>
      </c>
      <c r="D120" s="20" t="s">
        <v>46</v>
      </c>
      <c r="E120" s="20" t="s">
        <v>50</v>
      </c>
      <c r="F120" s="20">
        <v>31817</v>
      </c>
      <c r="G120" s="20">
        <v>208</v>
      </c>
      <c r="H120" s="20">
        <v>5</v>
      </c>
      <c r="I120" s="20">
        <v>6477.4</v>
      </c>
      <c r="J120" s="20">
        <v>5969.65</v>
      </c>
      <c r="K120" s="20">
        <v>74</v>
      </c>
      <c r="L120" s="20">
        <v>4</v>
      </c>
      <c r="M120" s="20">
        <v>5</v>
      </c>
      <c r="N120" s="29">
        <f>IF(Table2[[#This Row],[impressions]]=0,0,Table2[[#This Row],[spend_inr]]/Table2[[#This Row],[impressions]]*1000)</f>
        <v>203.58299022535124</v>
      </c>
      <c r="O120" s="31">
        <f>IF(Table2[[#This Row],[impressions]]=0,0,Table2[[#This Row],[clicks]]/Table2[[#This Row],[impressions]])</f>
        <v>6.537385674325046E-3</v>
      </c>
      <c r="P120" s="32">
        <f>IF(Table2[[#This Row],[clicks]]=0,0,Table2[[#This Row],[spend_inr]]/Table2[[#This Row],[clicks]])</f>
        <v>31.14134615384615</v>
      </c>
      <c r="Q120" s="31">
        <f>IF(Table2[[#This Row],[clicks]]=0,0,Table2[[#This Row],[conversions]]/Table2[[#This Row],[clicks]])</f>
        <v>2.403846153846154E-2</v>
      </c>
      <c r="R120" s="30">
        <f>IF(Table2[[#This Row],[spend_inr]]=0,0,(Table2[[#This Row],[revenue_inr]]-Table2[[#This Row],[spend_inr]])/Table2[[#This Row],[spend_inr]])</f>
        <v>-7.8387933430079978E-2</v>
      </c>
      <c r="S120" s="31">
        <f>IF(Table2[[#This Row],[impressions]]=0,0,(Table2[[#This Row],[likes]]+Table2[[#This Row],[comments]]+Table2[[#This Row],[shares]])/Table2[[#This Row],[impressions]])</f>
        <v>2.6086683219662446E-3</v>
      </c>
      <c r="T120" s="27"/>
    </row>
    <row r="121" spans="1:20" ht="15.75">
      <c r="A121" s="23" t="s">
        <v>42</v>
      </c>
      <c r="B121" s="20" t="s">
        <v>48</v>
      </c>
      <c r="C121" s="20" t="s">
        <v>49</v>
      </c>
      <c r="D121" s="20" t="s">
        <v>46</v>
      </c>
      <c r="E121" s="20" t="s">
        <v>50</v>
      </c>
      <c r="F121" s="20">
        <v>37236</v>
      </c>
      <c r="G121" s="20">
        <v>258</v>
      </c>
      <c r="H121" s="20">
        <v>6</v>
      </c>
      <c r="I121" s="20">
        <v>6475.38</v>
      </c>
      <c r="J121" s="20">
        <v>7341.8</v>
      </c>
      <c r="K121" s="20">
        <v>87</v>
      </c>
      <c r="L121" s="20">
        <v>13</v>
      </c>
      <c r="M121" s="20">
        <v>4</v>
      </c>
      <c r="N121" s="29">
        <f>IF(Table2[[#This Row],[impressions]]=0,0,Table2[[#This Row],[spend_inr]]/Table2[[#This Row],[impressions]]*1000)</f>
        <v>173.90106348694812</v>
      </c>
      <c r="O121" s="31">
        <f>IF(Table2[[#This Row],[impressions]]=0,0,Table2[[#This Row],[clicks]]/Table2[[#This Row],[impressions]])</f>
        <v>6.9287786013535286E-3</v>
      </c>
      <c r="P121" s="32">
        <f>IF(Table2[[#This Row],[clicks]]=0,0,Table2[[#This Row],[spend_inr]]/Table2[[#This Row],[clicks]])</f>
        <v>25.098372093023258</v>
      </c>
      <c r="Q121" s="31">
        <f>IF(Table2[[#This Row],[clicks]]=0,0,Table2[[#This Row],[conversions]]/Table2[[#This Row],[clicks]])</f>
        <v>2.3255813953488372E-2</v>
      </c>
      <c r="R121" s="30">
        <f>IF(Table2[[#This Row],[spend_inr]]=0,0,(Table2[[#This Row],[revenue_inr]]-Table2[[#This Row],[spend_inr]])/Table2[[#This Row],[spend_inr]])</f>
        <v>0.1338021861265285</v>
      </c>
      <c r="S121" s="31">
        <f>IF(Table2[[#This Row],[impressions]]=0,0,(Table2[[#This Row],[likes]]+Table2[[#This Row],[comments]]+Table2[[#This Row],[shares]])/Table2[[#This Row],[impressions]])</f>
        <v>2.7929960253518099E-3</v>
      </c>
      <c r="T121" s="27"/>
    </row>
    <row r="122" spans="1:20" ht="15.75">
      <c r="A122" s="23" t="s">
        <v>37</v>
      </c>
      <c r="B122" s="20" t="s">
        <v>43</v>
      </c>
      <c r="C122" s="20" t="s">
        <v>39</v>
      </c>
      <c r="D122" s="20" t="s">
        <v>46</v>
      </c>
      <c r="E122" s="20" t="s">
        <v>50</v>
      </c>
      <c r="F122" s="20">
        <v>78526</v>
      </c>
      <c r="G122" s="20">
        <v>1106</v>
      </c>
      <c r="H122" s="20">
        <v>25</v>
      </c>
      <c r="I122" s="20">
        <v>6466.25</v>
      </c>
      <c r="J122" s="20">
        <v>20943.87</v>
      </c>
      <c r="K122" s="20">
        <v>530</v>
      </c>
      <c r="L122" s="20">
        <v>63</v>
      </c>
      <c r="M122" s="20">
        <v>23</v>
      </c>
      <c r="N122" s="29">
        <f>IF(Table2[[#This Row],[impressions]]=0,0,Table2[[#This Row],[spend_inr]]/Table2[[#This Row],[impressions]]*1000)</f>
        <v>82.345337849884118</v>
      </c>
      <c r="O122" s="31">
        <f>IF(Table2[[#This Row],[impressions]]=0,0,Table2[[#This Row],[clicks]]/Table2[[#This Row],[impressions]])</f>
        <v>1.4084507042253521E-2</v>
      </c>
      <c r="P122" s="32">
        <f>IF(Table2[[#This Row],[clicks]]=0,0,Table2[[#This Row],[spend_inr]]/Table2[[#This Row],[clicks]])</f>
        <v>5.8465189873417724</v>
      </c>
      <c r="Q122" s="31">
        <f>IF(Table2[[#This Row],[clicks]]=0,0,Table2[[#This Row],[conversions]]/Table2[[#This Row],[clicks]])</f>
        <v>2.2603978300180832E-2</v>
      </c>
      <c r="R122" s="30">
        <f>IF(Table2[[#This Row],[spend_inr]]=0,0,(Table2[[#This Row],[revenue_inr]]-Table2[[#This Row],[spend_inr]])/Table2[[#This Row],[spend_inr]])</f>
        <v>2.2389514788323988</v>
      </c>
      <c r="S122" s="31">
        <f>IF(Table2[[#This Row],[impressions]]=0,0,(Table2[[#This Row],[likes]]+Table2[[#This Row],[comments]]+Table2[[#This Row],[shares]])/Table2[[#This Row],[impressions]])</f>
        <v>7.8445355678374035E-3</v>
      </c>
      <c r="T122" s="27"/>
    </row>
    <row r="123" spans="1:20" ht="15.75">
      <c r="A123" s="23" t="s">
        <v>51</v>
      </c>
      <c r="B123" s="20" t="s">
        <v>48</v>
      </c>
      <c r="C123" s="20" t="s">
        <v>49</v>
      </c>
      <c r="D123" s="20" t="s">
        <v>46</v>
      </c>
      <c r="E123" s="20" t="s">
        <v>50</v>
      </c>
      <c r="F123" s="20">
        <v>64884</v>
      </c>
      <c r="G123" s="20">
        <v>752</v>
      </c>
      <c r="H123" s="20">
        <v>13</v>
      </c>
      <c r="I123" s="20">
        <v>6465.44</v>
      </c>
      <c r="J123" s="20">
        <v>16986.98</v>
      </c>
      <c r="K123" s="20">
        <v>365</v>
      </c>
      <c r="L123" s="20">
        <v>33</v>
      </c>
      <c r="M123" s="20">
        <v>29</v>
      </c>
      <c r="N123" s="29">
        <f>IF(Table2[[#This Row],[impressions]]=0,0,Table2[[#This Row],[spend_inr]]/Table2[[#This Row],[impressions]]*1000)</f>
        <v>99.646137722705134</v>
      </c>
      <c r="O123" s="31">
        <f>IF(Table2[[#This Row],[impressions]]=0,0,Table2[[#This Row],[clicks]]/Table2[[#This Row],[impressions]])</f>
        <v>1.1589914308612293E-2</v>
      </c>
      <c r="P123" s="32">
        <f>IF(Table2[[#This Row],[clicks]]=0,0,Table2[[#This Row],[spend_inr]]/Table2[[#This Row],[clicks]])</f>
        <v>8.5976595744680839</v>
      </c>
      <c r="Q123" s="31">
        <f>IF(Table2[[#This Row],[clicks]]=0,0,Table2[[#This Row],[conversions]]/Table2[[#This Row],[clicks]])</f>
        <v>1.7287234042553192E-2</v>
      </c>
      <c r="R123" s="30">
        <f>IF(Table2[[#This Row],[spend_inr]]=0,0,(Table2[[#This Row],[revenue_inr]]-Table2[[#This Row],[spend_inr]])/Table2[[#This Row],[spend_inr]])</f>
        <v>1.6273509614194861</v>
      </c>
      <c r="S123" s="31">
        <f>IF(Table2[[#This Row],[impressions]]=0,0,(Table2[[#This Row],[likes]]+Table2[[#This Row],[comments]]+Table2[[#This Row],[shares]])/Table2[[#This Row],[impressions]])</f>
        <v>6.580975278959374E-3</v>
      </c>
      <c r="T123" s="27"/>
    </row>
    <row r="124" spans="1:20" ht="15.75">
      <c r="A124" s="23" t="s">
        <v>42</v>
      </c>
      <c r="B124" s="20" t="s">
        <v>44</v>
      </c>
      <c r="C124" s="20" t="s">
        <v>39</v>
      </c>
      <c r="D124" s="20" t="s">
        <v>46</v>
      </c>
      <c r="E124" s="20" t="s">
        <v>50</v>
      </c>
      <c r="F124" s="20">
        <v>74240</v>
      </c>
      <c r="G124" s="20">
        <v>491</v>
      </c>
      <c r="H124" s="20">
        <v>10</v>
      </c>
      <c r="I124" s="20">
        <v>6436.1</v>
      </c>
      <c r="J124" s="20">
        <v>14821.53</v>
      </c>
      <c r="K124" s="20">
        <v>221</v>
      </c>
      <c r="L124" s="20">
        <v>28</v>
      </c>
      <c r="M124" s="20">
        <v>13</v>
      </c>
      <c r="N124" s="29">
        <f>IF(Table2[[#This Row],[impressions]]=0,0,Table2[[#This Row],[spend_inr]]/Table2[[#This Row],[impressions]]*1000)</f>
        <v>86.693157327586221</v>
      </c>
      <c r="O124" s="31">
        <f>IF(Table2[[#This Row],[impressions]]=0,0,Table2[[#This Row],[clicks]]/Table2[[#This Row],[impressions]])</f>
        <v>6.613685344827586E-3</v>
      </c>
      <c r="P124" s="32">
        <f>IF(Table2[[#This Row],[clicks]]=0,0,Table2[[#This Row],[spend_inr]]/Table2[[#This Row],[clicks]])</f>
        <v>13.108146639511203</v>
      </c>
      <c r="Q124" s="31">
        <f>IF(Table2[[#This Row],[clicks]]=0,0,Table2[[#This Row],[conversions]]/Table2[[#This Row],[clicks]])</f>
        <v>2.0366598778004074E-2</v>
      </c>
      <c r="R124" s="30">
        <f>IF(Table2[[#This Row],[spend_inr]]=0,0,(Table2[[#This Row],[revenue_inr]]-Table2[[#This Row],[spend_inr]])/Table2[[#This Row],[spend_inr]])</f>
        <v>1.3028744115225059</v>
      </c>
      <c r="S124" s="31">
        <f>IF(Table2[[#This Row],[impressions]]=0,0,(Table2[[#This Row],[likes]]+Table2[[#This Row],[comments]]+Table2[[#This Row],[shares]])/Table2[[#This Row],[impressions]])</f>
        <v>3.529094827586207E-3</v>
      </c>
      <c r="T124" s="27"/>
    </row>
    <row r="125" spans="1:20" ht="15.75">
      <c r="A125" s="23" t="s">
        <v>42</v>
      </c>
      <c r="B125" s="20" t="s">
        <v>38</v>
      </c>
      <c r="C125" s="20" t="s">
        <v>39</v>
      </c>
      <c r="D125" s="20" t="s">
        <v>40</v>
      </c>
      <c r="E125" s="20" t="s">
        <v>50</v>
      </c>
      <c r="F125" s="20">
        <v>52673</v>
      </c>
      <c r="G125" s="20">
        <v>270</v>
      </c>
      <c r="H125" s="20">
        <v>7</v>
      </c>
      <c r="I125" s="20">
        <v>6395.92</v>
      </c>
      <c r="J125" s="20">
        <v>9214.57</v>
      </c>
      <c r="K125" s="20">
        <v>103</v>
      </c>
      <c r="L125" s="20">
        <v>14</v>
      </c>
      <c r="M125" s="20">
        <v>4</v>
      </c>
      <c r="N125" s="29">
        <f>IF(Table2[[#This Row],[impressions]]=0,0,Table2[[#This Row],[spend_inr]]/Table2[[#This Row],[impressions]]*1000)</f>
        <v>121.42691701630817</v>
      </c>
      <c r="O125" s="31">
        <f>IF(Table2[[#This Row],[impressions]]=0,0,Table2[[#This Row],[clicks]]/Table2[[#This Row],[impressions]])</f>
        <v>5.1259658648643517E-3</v>
      </c>
      <c r="P125" s="32">
        <f>IF(Table2[[#This Row],[clicks]]=0,0,Table2[[#This Row],[spend_inr]]/Table2[[#This Row],[clicks]])</f>
        <v>23.688592592592592</v>
      </c>
      <c r="Q125" s="31">
        <f>IF(Table2[[#This Row],[clicks]]=0,0,Table2[[#This Row],[conversions]]/Table2[[#This Row],[clicks]])</f>
        <v>2.5925925925925925E-2</v>
      </c>
      <c r="R125" s="30">
        <f>IF(Table2[[#This Row],[spend_inr]]=0,0,(Table2[[#This Row],[revenue_inr]]-Table2[[#This Row],[spend_inr]])/Table2[[#This Row],[spend_inr]])</f>
        <v>0.44069500556604829</v>
      </c>
      <c r="S125" s="31">
        <f>IF(Table2[[#This Row],[impressions]]=0,0,(Table2[[#This Row],[likes]]+Table2[[#This Row],[comments]]+Table2[[#This Row],[shares]])/Table2[[#This Row],[impressions]])</f>
        <v>2.2971921098095798E-3</v>
      </c>
      <c r="T125" s="27"/>
    </row>
    <row r="126" spans="1:20" ht="15.75">
      <c r="A126" s="23" t="s">
        <v>37</v>
      </c>
      <c r="B126" s="20" t="s">
        <v>43</v>
      </c>
      <c r="C126" s="20" t="s">
        <v>45</v>
      </c>
      <c r="D126" s="20" t="s">
        <v>46</v>
      </c>
      <c r="E126" s="20" t="s">
        <v>50</v>
      </c>
      <c r="F126" s="20">
        <v>56053</v>
      </c>
      <c r="G126" s="20">
        <v>983</v>
      </c>
      <c r="H126" s="20">
        <v>28</v>
      </c>
      <c r="I126" s="20">
        <v>6360.43</v>
      </c>
      <c r="J126" s="20">
        <v>15925.82</v>
      </c>
      <c r="K126" s="20">
        <v>331</v>
      </c>
      <c r="L126" s="20">
        <v>52</v>
      </c>
      <c r="M126" s="20">
        <v>30</v>
      </c>
      <c r="N126" s="29">
        <f>IF(Table2[[#This Row],[impressions]]=0,0,Table2[[#This Row],[spend_inr]]/Table2[[#This Row],[impressions]]*1000)</f>
        <v>113.47171427042264</v>
      </c>
      <c r="O126" s="31">
        <f>IF(Table2[[#This Row],[impressions]]=0,0,Table2[[#This Row],[clicks]]/Table2[[#This Row],[impressions]])</f>
        <v>1.7536973935382585E-2</v>
      </c>
      <c r="P126" s="32">
        <f>IF(Table2[[#This Row],[clicks]]=0,0,Table2[[#This Row],[spend_inr]]/Table2[[#This Row],[clicks]])</f>
        <v>6.470427263479146</v>
      </c>
      <c r="Q126" s="31">
        <f>IF(Table2[[#This Row],[clicks]]=0,0,Table2[[#This Row],[conversions]]/Table2[[#This Row],[clicks]])</f>
        <v>2.8484231943031537E-2</v>
      </c>
      <c r="R126" s="30">
        <f>IF(Table2[[#This Row],[spend_inr]]=0,0,(Table2[[#This Row],[revenue_inr]]-Table2[[#This Row],[spend_inr]])/Table2[[#This Row],[spend_inr]])</f>
        <v>1.5038904602361789</v>
      </c>
      <c r="S126" s="31">
        <f>IF(Table2[[#This Row],[impressions]]=0,0,(Table2[[#This Row],[likes]]+Table2[[#This Row],[comments]]+Table2[[#This Row],[shares]])/Table2[[#This Row],[impressions]])</f>
        <v>7.3680266890264572E-3</v>
      </c>
      <c r="T126" s="27"/>
    </row>
    <row r="127" spans="1:20" ht="15.75">
      <c r="A127" s="23" t="s">
        <v>52</v>
      </c>
      <c r="B127" s="20" t="s">
        <v>43</v>
      </c>
      <c r="C127" s="20" t="s">
        <v>39</v>
      </c>
      <c r="D127" s="20" t="s">
        <v>46</v>
      </c>
      <c r="E127" s="20" t="s">
        <v>56</v>
      </c>
      <c r="F127" s="20">
        <v>53214</v>
      </c>
      <c r="G127" s="20">
        <v>1217</v>
      </c>
      <c r="H127" s="20">
        <v>54</v>
      </c>
      <c r="I127" s="20">
        <v>6354.9</v>
      </c>
      <c r="J127" s="20">
        <v>73348.86</v>
      </c>
      <c r="K127" s="20">
        <v>0</v>
      </c>
      <c r="L127" s="20">
        <v>0</v>
      </c>
      <c r="M127" s="20">
        <v>0</v>
      </c>
      <c r="N127" s="29">
        <f>IF(Table2[[#This Row],[impressions]]=0,0,Table2[[#This Row],[spend_inr]]/Table2[[#This Row],[impressions]]*1000)</f>
        <v>119.42158078701092</v>
      </c>
      <c r="O127" s="31">
        <f>IF(Table2[[#This Row],[impressions]]=0,0,Table2[[#This Row],[clicks]]/Table2[[#This Row],[impressions]])</f>
        <v>2.2869921449242679E-2</v>
      </c>
      <c r="P127" s="32">
        <f>IF(Table2[[#This Row],[clicks]]=0,0,Table2[[#This Row],[spend_inr]]/Table2[[#This Row],[clicks]])</f>
        <v>5.2217748562037798</v>
      </c>
      <c r="Q127" s="31">
        <f>IF(Table2[[#This Row],[clicks]]=0,0,Table2[[#This Row],[conversions]]/Table2[[#This Row],[clicks]])</f>
        <v>4.4371405094494658E-2</v>
      </c>
      <c r="R127" s="30">
        <f>IF(Table2[[#This Row],[spend_inr]]=0,0,(Table2[[#This Row],[revenue_inr]]-Table2[[#This Row],[spend_inr]])/Table2[[#This Row],[spend_inr]])</f>
        <v>10.542095076240383</v>
      </c>
      <c r="S127" s="31">
        <f>IF(Table2[[#This Row],[impressions]]=0,0,(Table2[[#This Row],[likes]]+Table2[[#This Row],[comments]]+Table2[[#This Row],[shares]])/Table2[[#This Row],[impressions]])</f>
        <v>0</v>
      </c>
      <c r="T127" s="27"/>
    </row>
    <row r="128" spans="1:20" ht="15.75">
      <c r="A128" s="23" t="s">
        <v>37</v>
      </c>
      <c r="B128" s="20" t="s">
        <v>44</v>
      </c>
      <c r="C128" s="20" t="s">
        <v>54</v>
      </c>
      <c r="D128" s="20" t="s">
        <v>46</v>
      </c>
      <c r="E128" s="20" t="s">
        <v>50</v>
      </c>
      <c r="F128" s="20">
        <v>74420</v>
      </c>
      <c r="G128" s="20">
        <v>905</v>
      </c>
      <c r="H128" s="20">
        <v>28</v>
      </c>
      <c r="I128" s="20">
        <v>6351.99</v>
      </c>
      <c r="J128" s="20">
        <v>35711.21</v>
      </c>
      <c r="K128" s="20">
        <v>438</v>
      </c>
      <c r="L128" s="20">
        <v>52</v>
      </c>
      <c r="M128" s="20">
        <v>15</v>
      </c>
      <c r="N128" s="29">
        <f>IF(Table2[[#This Row],[impressions]]=0,0,Table2[[#This Row],[spend_inr]]/Table2[[#This Row],[impressions]]*1000)</f>
        <v>85.35326525127654</v>
      </c>
      <c r="O128" s="31">
        <f>IF(Table2[[#This Row],[impressions]]=0,0,Table2[[#This Row],[clicks]]/Table2[[#This Row],[impressions]])</f>
        <v>1.2160709486697124E-2</v>
      </c>
      <c r="P128" s="32">
        <f>IF(Table2[[#This Row],[clicks]]=0,0,Table2[[#This Row],[spend_inr]]/Table2[[#This Row],[clicks]])</f>
        <v>7.0187734806629836</v>
      </c>
      <c r="Q128" s="31">
        <f>IF(Table2[[#This Row],[clicks]]=0,0,Table2[[#This Row],[conversions]]/Table2[[#This Row],[clicks]])</f>
        <v>3.0939226519337018E-2</v>
      </c>
      <c r="R128" s="30">
        <f>IF(Table2[[#This Row],[spend_inr]]=0,0,(Table2[[#This Row],[revenue_inr]]-Table2[[#This Row],[spend_inr]])/Table2[[#This Row],[spend_inr]])</f>
        <v>4.6220507274098352</v>
      </c>
      <c r="S128" s="31">
        <f>IF(Table2[[#This Row],[impressions]]=0,0,(Table2[[#This Row],[likes]]+Table2[[#This Row],[comments]]+Table2[[#This Row],[shares]])/Table2[[#This Row],[impressions]])</f>
        <v>6.7858102660575117E-3</v>
      </c>
      <c r="T128" s="27"/>
    </row>
    <row r="129" spans="1:20" ht="15.75">
      <c r="A129" s="23" t="s">
        <v>52</v>
      </c>
      <c r="B129" s="20" t="s">
        <v>44</v>
      </c>
      <c r="C129" s="20" t="s">
        <v>55</v>
      </c>
      <c r="D129" s="20" t="s">
        <v>40</v>
      </c>
      <c r="E129" s="20" t="s">
        <v>53</v>
      </c>
      <c r="F129" s="20">
        <v>37999</v>
      </c>
      <c r="G129" s="20">
        <v>361</v>
      </c>
      <c r="H129" s="20">
        <v>14</v>
      </c>
      <c r="I129" s="20">
        <v>6341.86</v>
      </c>
      <c r="J129" s="20">
        <v>8578.93</v>
      </c>
      <c r="K129" s="20">
        <v>0</v>
      </c>
      <c r="L129" s="20">
        <v>0</v>
      </c>
      <c r="M129" s="20">
        <v>0</v>
      </c>
      <c r="N129" s="29">
        <f>IF(Table2[[#This Row],[impressions]]=0,0,Table2[[#This Row],[spend_inr]]/Table2[[#This Row],[impressions]]*1000)</f>
        <v>166.8954446169636</v>
      </c>
      <c r="O129" s="31">
        <f>IF(Table2[[#This Row],[impressions]]=0,0,Table2[[#This Row],[clicks]]/Table2[[#This Row],[impressions]])</f>
        <v>9.5002500065791209E-3</v>
      </c>
      <c r="P129" s="32">
        <f>IF(Table2[[#This Row],[clicks]]=0,0,Table2[[#This Row],[spend_inr]]/Table2[[#This Row],[clicks]])</f>
        <v>17.567479224376729</v>
      </c>
      <c r="Q129" s="31">
        <f>IF(Table2[[#This Row],[clicks]]=0,0,Table2[[#This Row],[conversions]]/Table2[[#This Row],[clicks]])</f>
        <v>3.8781163434903045E-2</v>
      </c>
      <c r="R129" s="30">
        <f>IF(Table2[[#This Row],[spend_inr]]=0,0,(Table2[[#This Row],[revenue_inr]]-Table2[[#This Row],[spend_inr]])/Table2[[#This Row],[spend_inr]])</f>
        <v>0.3527466705351428</v>
      </c>
      <c r="S129" s="31">
        <f>IF(Table2[[#This Row],[impressions]]=0,0,(Table2[[#This Row],[likes]]+Table2[[#This Row],[comments]]+Table2[[#This Row],[shares]])/Table2[[#This Row],[impressions]])</f>
        <v>0</v>
      </c>
      <c r="T129" s="27"/>
    </row>
    <row r="130" spans="1:20" ht="15.75">
      <c r="A130" s="23" t="s">
        <v>42</v>
      </c>
      <c r="B130" s="20" t="s">
        <v>43</v>
      </c>
      <c r="C130" s="20" t="s">
        <v>39</v>
      </c>
      <c r="D130" s="20" t="s">
        <v>46</v>
      </c>
      <c r="E130" s="20" t="s">
        <v>41</v>
      </c>
      <c r="F130" s="20">
        <v>27244</v>
      </c>
      <c r="G130" s="20">
        <v>329</v>
      </c>
      <c r="H130" s="20">
        <v>0</v>
      </c>
      <c r="I130" s="20">
        <v>6295.81</v>
      </c>
      <c r="J130" s="20">
        <v>0</v>
      </c>
      <c r="K130" s="20">
        <v>162</v>
      </c>
      <c r="L130" s="20">
        <v>11</v>
      </c>
      <c r="M130" s="20">
        <v>8</v>
      </c>
      <c r="N130" s="29">
        <f>IF(Table2[[#This Row],[impressions]]=0,0,Table2[[#This Row],[spend_inr]]/Table2[[#This Row],[impressions]]*1000)</f>
        <v>231.08978123623552</v>
      </c>
      <c r="O130" s="31">
        <f>IF(Table2[[#This Row],[impressions]]=0,0,Table2[[#This Row],[clicks]]/Table2[[#This Row],[impressions]])</f>
        <v>1.2076053442959919E-2</v>
      </c>
      <c r="P130" s="32">
        <f>IF(Table2[[#This Row],[clicks]]=0,0,Table2[[#This Row],[spend_inr]]/Table2[[#This Row],[clicks]])</f>
        <v>19.136200607902737</v>
      </c>
      <c r="Q130" s="31">
        <f>IF(Table2[[#This Row],[clicks]]=0,0,Table2[[#This Row],[conversions]]/Table2[[#This Row],[clicks]])</f>
        <v>0</v>
      </c>
      <c r="R130" s="30">
        <f>IF(Table2[[#This Row],[spend_inr]]=0,0,(Table2[[#This Row],[revenue_inr]]-Table2[[#This Row],[spend_inr]])/Table2[[#This Row],[spend_inr]])</f>
        <v>-1</v>
      </c>
      <c r="S130" s="31">
        <f>IF(Table2[[#This Row],[impressions]]=0,0,(Table2[[#This Row],[likes]]+Table2[[#This Row],[comments]]+Table2[[#This Row],[shares]])/Table2[[#This Row],[impressions]])</f>
        <v>6.6436646601086479E-3</v>
      </c>
      <c r="T130" s="27"/>
    </row>
    <row r="131" spans="1:20" ht="15.75">
      <c r="A131" s="23" t="s">
        <v>42</v>
      </c>
      <c r="B131" s="20" t="s">
        <v>38</v>
      </c>
      <c r="C131" s="20" t="s">
        <v>49</v>
      </c>
      <c r="D131" s="20" t="s">
        <v>40</v>
      </c>
      <c r="E131" s="20" t="s">
        <v>47</v>
      </c>
      <c r="F131" s="20">
        <v>23841</v>
      </c>
      <c r="G131" s="20">
        <v>0</v>
      </c>
      <c r="H131" s="20">
        <v>7</v>
      </c>
      <c r="I131" s="20">
        <v>6222.14</v>
      </c>
      <c r="J131" s="20">
        <v>3648.16</v>
      </c>
      <c r="K131" s="20">
        <v>112</v>
      </c>
      <c r="L131" s="20">
        <v>6</v>
      </c>
      <c r="M131" s="20">
        <v>5</v>
      </c>
      <c r="N131" s="29">
        <f>IF(Table2[[#This Row],[impressions]]=0,0,Table2[[#This Row],[spend_inr]]/Table2[[#This Row],[impressions]]*1000)</f>
        <v>260.98485801770062</v>
      </c>
      <c r="O131" s="31">
        <f>IF(Table2[[#This Row],[impressions]]=0,0,Table2[[#This Row],[clicks]]/Table2[[#This Row],[impressions]])</f>
        <v>0</v>
      </c>
      <c r="P131" s="32">
        <f>IF(Table2[[#This Row],[clicks]]=0,0,Table2[[#This Row],[spend_inr]]/Table2[[#This Row],[clicks]])</f>
        <v>0</v>
      </c>
      <c r="Q131" s="31">
        <f>IF(Table2[[#This Row],[clicks]]=0,0,Table2[[#This Row],[conversions]]/Table2[[#This Row],[clicks]])</f>
        <v>0</v>
      </c>
      <c r="R131" s="30">
        <f>IF(Table2[[#This Row],[spend_inr]]=0,0,(Table2[[#This Row],[revenue_inr]]-Table2[[#This Row],[spend_inr]])/Table2[[#This Row],[spend_inr]])</f>
        <v>-0.4136808236394553</v>
      </c>
      <c r="S131" s="31">
        <f>IF(Table2[[#This Row],[impressions]]=0,0,(Table2[[#This Row],[likes]]+Table2[[#This Row],[comments]]+Table2[[#This Row],[shares]])/Table2[[#This Row],[impressions]])</f>
        <v>5.1591795646155781E-3</v>
      </c>
      <c r="T131" s="27"/>
    </row>
    <row r="132" spans="1:20" ht="15.75">
      <c r="A132" s="23" t="s">
        <v>52</v>
      </c>
      <c r="B132" s="20" t="s">
        <v>44</v>
      </c>
      <c r="C132" s="20" t="s">
        <v>39</v>
      </c>
      <c r="D132" s="20" t="s">
        <v>40</v>
      </c>
      <c r="E132" s="20" t="s">
        <v>56</v>
      </c>
      <c r="F132" s="20">
        <v>70404</v>
      </c>
      <c r="G132" s="20">
        <v>820</v>
      </c>
      <c r="H132" s="20">
        <v>27</v>
      </c>
      <c r="I132" s="20">
        <v>6201.59</v>
      </c>
      <c r="J132" s="20">
        <v>36349.4</v>
      </c>
      <c r="K132" s="20">
        <v>0</v>
      </c>
      <c r="L132" s="20">
        <v>0</v>
      </c>
      <c r="M132" s="20">
        <v>0</v>
      </c>
      <c r="N132" s="29">
        <f>IF(Table2[[#This Row],[impressions]]=0,0,Table2[[#This Row],[spend_inr]]/Table2[[#This Row],[impressions]]*1000)</f>
        <v>88.085762172603836</v>
      </c>
      <c r="O132" s="31">
        <f>IF(Table2[[#This Row],[impressions]]=0,0,Table2[[#This Row],[clicks]]/Table2[[#This Row],[impressions]])</f>
        <v>1.1647065507641611E-2</v>
      </c>
      <c r="P132" s="32">
        <f>IF(Table2[[#This Row],[clicks]]=0,0,Table2[[#This Row],[spend_inr]]/Table2[[#This Row],[clicks]])</f>
        <v>7.5629146341463418</v>
      </c>
      <c r="Q132" s="31">
        <f>IF(Table2[[#This Row],[clicks]]=0,0,Table2[[#This Row],[conversions]]/Table2[[#This Row],[clicks]])</f>
        <v>3.2926829268292684E-2</v>
      </c>
      <c r="R132" s="30">
        <f>IF(Table2[[#This Row],[spend_inr]]=0,0,(Table2[[#This Row],[revenue_inr]]-Table2[[#This Row],[spend_inr]])/Table2[[#This Row],[spend_inr]])</f>
        <v>4.8613033109251012</v>
      </c>
      <c r="S132" s="31">
        <f>IF(Table2[[#This Row],[impressions]]=0,0,(Table2[[#This Row],[likes]]+Table2[[#This Row],[comments]]+Table2[[#This Row],[shares]])/Table2[[#This Row],[impressions]])</f>
        <v>0</v>
      </c>
      <c r="T132" s="27"/>
    </row>
    <row r="133" spans="1:20" ht="15.75">
      <c r="A133" s="23" t="s">
        <v>52</v>
      </c>
      <c r="B133" s="20" t="s">
        <v>48</v>
      </c>
      <c r="C133" s="20" t="s">
        <v>49</v>
      </c>
      <c r="D133" s="20" t="s">
        <v>40</v>
      </c>
      <c r="E133" s="20" t="s">
        <v>56</v>
      </c>
      <c r="F133" s="20">
        <v>52477</v>
      </c>
      <c r="G133" s="20">
        <v>907</v>
      </c>
      <c r="H133" s="20">
        <v>36</v>
      </c>
      <c r="I133" s="20">
        <v>6131.01</v>
      </c>
      <c r="J133" s="20">
        <v>20924.439999999999</v>
      </c>
      <c r="K133" s="20">
        <v>0</v>
      </c>
      <c r="L133" s="20">
        <v>0</v>
      </c>
      <c r="M133" s="20">
        <v>0</v>
      </c>
      <c r="N133" s="29">
        <f>IF(Table2[[#This Row],[impressions]]=0,0,Table2[[#This Row],[spend_inr]]/Table2[[#This Row],[impressions]]*1000)</f>
        <v>116.83232654305696</v>
      </c>
      <c r="O133" s="31">
        <f>IF(Table2[[#This Row],[impressions]]=0,0,Table2[[#This Row],[clicks]]/Table2[[#This Row],[impressions]])</f>
        <v>1.7283762410198755E-2</v>
      </c>
      <c r="P133" s="32">
        <f>IF(Table2[[#This Row],[clicks]]=0,0,Table2[[#This Row],[spend_inr]]/Table2[[#This Row],[clicks]])</f>
        <v>6.7596582138919521</v>
      </c>
      <c r="Q133" s="31">
        <f>IF(Table2[[#This Row],[clicks]]=0,0,Table2[[#This Row],[conversions]]/Table2[[#This Row],[clicks]])</f>
        <v>3.9691289966923927E-2</v>
      </c>
      <c r="R133" s="30">
        <f>IF(Table2[[#This Row],[spend_inr]]=0,0,(Table2[[#This Row],[revenue_inr]]-Table2[[#This Row],[spend_inr]])/Table2[[#This Row],[spend_inr]])</f>
        <v>2.4128862944278344</v>
      </c>
      <c r="S133" s="31">
        <f>IF(Table2[[#This Row],[impressions]]=0,0,(Table2[[#This Row],[likes]]+Table2[[#This Row],[comments]]+Table2[[#This Row],[shares]])/Table2[[#This Row],[impressions]])</f>
        <v>0</v>
      </c>
      <c r="T133" s="27"/>
    </row>
    <row r="134" spans="1:20" ht="15.75">
      <c r="A134" s="23" t="s">
        <v>37</v>
      </c>
      <c r="B134" s="20" t="s">
        <v>43</v>
      </c>
      <c r="C134" s="20" t="s">
        <v>45</v>
      </c>
      <c r="D134" s="20" t="s">
        <v>40</v>
      </c>
      <c r="E134" s="20" t="s">
        <v>50</v>
      </c>
      <c r="F134" s="20">
        <v>0</v>
      </c>
      <c r="G134" s="20">
        <v>0</v>
      </c>
      <c r="H134" s="20">
        <v>0</v>
      </c>
      <c r="I134" s="20">
        <v>6102.15</v>
      </c>
      <c r="J134" s="20">
        <v>19137.43</v>
      </c>
      <c r="K134" s="20">
        <v>298</v>
      </c>
      <c r="L134" s="20">
        <v>33</v>
      </c>
      <c r="M134" s="20">
        <v>25</v>
      </c>
      <c r="N134" s="29">
        <f>IF(Table2[[#This Row],[impressions]]=0,0,Table2[[#This Row],[spend_inr]]/Table2[[#This Row],[impressions]]*1000)</f>
        <v>0</v>
      </c>
      <c r="O134" s="31">
        <f>IF(Table2[[#This Row],[impressions]]=0,0,Table2[[#This Row],[clicks]]/Table2[[#This Row],[impressions]])</f>
        <v>0</v>
      </c>
      <c r="P134" s="32">
        <f>IF(Table2[[#This Row],[clicks]]=0,0,Table2[[#This Row],[spend_inr]]/Table2[[#This Row],[clicks]])</f>
        <v>0</v>
      </c>
      <c r="Q134" s="31">
        <f>IF(Table2[[#This Row],[clicks]]=0,0,Table2[[#This Row],[conversions]]/Table2[[#This Row],[clicks]])</f>
        <v>0</v>
      </c>
      <c r="R134" s="30">
        <f>IF(Table2[[#This Row],[spend_inr]]=0,0,(Table2[[#This Row],[revenue_inr]]-Table2[[#This Row],[spend_inr]])/Table2[[#This Row],[spend_inr]])</f>
        <v>2.1361782322623997</v>
      </c>
      <c r="S134" s="31">
        <f>IF(Table2[[#This Row],[impressions]]=0,0,(Table2[[#This Row],[likes]]+Table2[[#This Row],[comments]]+Table2[[#This Row],[shares]])/Table2[[#This Row],[impressions]])</f>
        <v>0</v>
      </c>
      <c r="T134" s="27"/>
    </row>
    <row r="135" spans="1:20" ht="15.75">
      <c r="A135" s="23" t="s">
        <v>37</v>
      </c>
      <c r="B135" s="20" t="s">
        <v>43</v>
      </c>
      <c r="C135" s="20" t="s">
        <v>49</v>
      </c>
      <c r="D135" s="20" t="s">
        <v>40</v>
      </c>
      <c r="E135" s="20" t="s">
        <v>50</v>
      </c>
      <c r="F135" s="20">
        <v>78404</v>
      </c>
      <c r="G135" s="20">
        <v>1076</v>
      </c>
      <c r="H135" s="20">
        <v>30</v>
      </c>
      <c r="I135" s="20">
        <v>6085.71</v>
      </c>
      <c r="J135" s="20">
        <v>35523.129999999997</v>
      </c>
      <c r="K135" s="20">
        <v>434</v>
      </c>
      <c r="L135" s="20">
        <v>29</v>
      </c>
      <c r="M135" s="20">
        <v>14</v>
      </c>
      <c r="N135" s="29">
        <f>IF(Table2[[#This Row],[impressions]]=0,0,Table2[[#This Row],[spend_inr]]/Table2[[#This Row],[impressions]]*1000)</f>
        <v>77.61989184225294</v>
      </c>
      <c r="O135" s="31">
        <f>IF(Table2[[#This Row],[impressions]]=0,0,Table2[[#This Row],[clicks]]/Table2[[#This Row],[impressions]])</f>
        <v>1.3723789602571297E-2</v>
      </c>
      <c r="P135" s="32">
        <f>IF(Table2[[#This Row],[clicks]]=0,0,Table2[[#This Row],[spend_inr]]/Table2[[#This Row],[clicks]])</f>
        <v>5.6558643122676582</v>
      </c>
      <c r="Q135" s="31">
        <f>IF(Table2[[#This Row],[clicks]]=0,0,Table2[[#This Row],[conversions]]/Table2[[#This Row],[clicks]])</f>
        <v>2.7881040892193308E-2</v>
      </c>
      <c r="R135" s="30">
        <f>IF(Table2[[#This Row],[spend_inr]]=0,0,(Table2[[#This Row],[revenue_inr]]-Table2[[#This Row],[spend_inr]])/Table2[[#This Row],[spend_inr]])</f>
        <v>4.8371381482193527</v>
      </c>
      <c r="S135" s="31">
        <f>IF(Table2[[#This Row],[impressions]]=0,0,(Table2[[#This Row],[likes]]+Table2[[#This Row],[comments]]+Table2[[#This Row],[shares]])/Table2[[#This Row],[impressions]])</f>
        <v>6.0838732717718481E-3</v>
      </c>
      <c r="T135" s="27"/>
    </row>
    <row r="136" spans="1:20" ht="15.75">
      <c r="A136" s="23" t="s">
        <v>51</v>
      </c>
      <c r="B136" s="20" t="s">
        <v>44</v>
      </c>
      <c r="C136" s="20" t="s">
        <v>55</v>
      </c>
      <c r="D136" s="20" t="s">
        <v>46</v>
      </c>
      <c r="E136" s="20" t="s">
        <v>50</v>
      </c>
      <c r="F136" s="20">
        <v>39800</v>
      </c>
      <c r="G136" s="20">
        <v>492</v>
      </c>
      <c r="H136" s="20">
        <v>5</v>
      </c>
      <c r="I136" s="20">
        <v>6067.19</v>
      </c>
      <c r="J136" s="20">
        <v>7071.6</v>
      </c>
      <c r="K136" s="20">
        <v>177</v>
      </c>
      <c r="L136" s="20">
        <v>19</v>
      </c>
      <c r="M136" s="20">
        <v>6</v>
      </c>
      <c r="N136" s="29">
        <f>IF(Table2[[#This Row],[impressions]]=0,0,Table2[[#This Row],[spend_inr]]/Table2[[#This Row],[impressions]]*1000)</f>
        <v>152.44195979899496</v>
      </c>
      <c r="O136" s="31">
        <f>IF(Table2[[#This Row],[impressions]]=0,0,Table2[[#This Row],[clicks]]/Table2[[#This Row],[impressions]])</f>
        <v>1.2361809045226132E-2</v>
      </c>
      <c r="P136" s="32">
        <f>IF(Table2[[#This Row],[clicks]]=0,0,Table2[[#This Row],[spend_inr]]/Table2[[#This Row],[clicks]])</f>
        <v>12.331686991869917</v>
      </c>
      <c r="Q136" s="31">
        <f>IF(Table2[[#This Row],[clicks]]=0,0,Table2[[#This Row],[conversions]]/Table2[[#This Row],[clicks]])</f>
        <v>1.016260162601626E-2</v>
      </c>
      <c r="R136" s="30">
        <f>IF(Table2[[#This Row],[spend_inr]]=0,0,(Table2[[#This Row],[revenue_inr]]-Table2[[#This Row],[spend_inr]])/Table2[[#This Row],[spend_inr]])</f>
        <v>0.1655478071397139</v>
      </c>
      <c r="S136" s="31">
        <f>IF(Table2[[#This Row],[impressions]]=0,0,(Table2[[#This Row],[likes]]+Table2[[#This Row],[comments]]+Table2[[#This Row],[shares]])/Table2[[#This Row],[impressions]])</f>
        <v>5.0753768844221106E-3</v>
      </c>
      <c r="T136" s="27"/>
    </row>
    <row r="137" spans="1:20" ht="15.75">
      <c r="A137" s="23" t="s">
        <v>42</v>
      </c>
      <c r="B137" s="20" t="s">
        <v>38</v>
      </c>
      <c r="C137" s="20" t="s">
        <v>49</v>
      </c>
      <c r="D137" s="20" t="s">
        <v>46</v>
      </c>
      <c r="E137" s="20" t="s">
        <v>41</v>
      </c>
      <c r="F137" s="20">
        <v>74410</v>
      </c>
      <c r="G137" s="20">
        <v>722</v>
      </c>
      <c r="H137" s="20">
        <v>18</v>
      </c>
      <c r="I137" s="20">
        <v>6028.89</v>
      </c>
      <c r="J137" s="20">
        <v>17674.2</v>
      </c>
      <c r="K137" s="20">
        <v>318</v>
      </c>
      <c r="L137" s="20">
        <v>32</v>
      </c>
      <c r="M137" s="20">
        <v>7</v>
      </c>
      <c r="N137" s="29">
        <f>IF(Table2[[#This Row],[impressions]]=0,0,Table2[[#This Row],[spend_inr]]/Table2[[#This Row],[impressions]]*1000)</f>
        <v>81.022577610536217</v>
      </c>
      <c r="O137" s="31">
        <f>IF(Table2[[#This Row],[impressions]]=0,0,Table2[[#This Row],[clicks]]/Table2[[#This Row],[impressions]])</f>
        <v>9.7029969090176044E-3</v>
      </c>
      <c r="P137" s="32">
        <f>IF(Table2[[#This Row],[clicks]]=0,0,Table2[[#This Row],[spend_inr]]/Table2[[#This Row],[clicks]])</f>
        <v>8.3502631578947373</v>
      </c>
      <c r="Q137" s="31">
        <f>IF(Table2[[#This Row],[clicks]]=0,0,Table2[[#This Row],[conversions]]/Table2[[#This Row],[clicks]])</f>
        <v>2.4930747922437674E-2</v>
      </c>
      <c r="R137" s="30">
        <f>IF(Table2[[#This Row],[spend_inr]]=0,0,(Table2[[#This Row],[revenue_inr]]-Table2[[#This Row],[spend_inr]])/Table2[[#This Row],[spend_inr]])</f>
        <v>1.9315844210128235</v>
      </c>
      <c r="S137" s="31">
        <f>IF(Table2[[#This Row],[impressions]]=0,0,(Table2[[#This Row],[likes]]+Table2[[#This Row],[comments]]+Table2[[#This Row],[shares]])/Table2[[#This Row],[impressions]])</f>
        <v>4.7977422389463781E-3</v>
      </c>
      <c r="T137" s="27"/>
    </row>
    <row r="138" spans="1:20" ht="15.75">
      <c r="A138" s="23" t="s">
        <v>42</v>
      </c>
      <c r="B138" s="20" t="s">
        <v>48</v>
      </c>
      <c r="C138" s="20" t="s">
        <v>49</v>
      </c>
      <c r="D138" s="20" t="s">
        <v>40</v>
      </c>
      <c r="E138" s="20" t="s">
        <v>50</v>
      </c>
      <c r="F138" s="20">
        <v>76583</v>
      </c>
      <c r="G138" s="20">
        <v>394</v>
      </c>
      <c r="H138" s="20">
        <v>9</v>
      </c>
      <c r="I138" s="20">
        <v>6022.43</v>
      </c>
      <c r="J138" s="20">
        <v>8958.19</v>
      </c>
      <c r="K138" s="20">
        <v>152</v>
      </c>
      <c r="L138" s="20">
        <v>13</v>
      </c>
      <c r="M138" s="20">
        <v>11</v>
      </c>
      <c r="N138" s="29">
        <f>IF(Table2[[#This Row],[impressions]]=0,0,Table2[[#This Row],[spend_inr]]/Table2[[#This Row],[impressions]]*1000)</f>
        <v>78.639254142564283</v>
      </c>
      <c r="O138" s="31">
        <f>IF(Table2[[#This Row],[impressions]]=0,0,Table2[[#This Row],[clicks]]/Table2[[#This Row],[impressions]])</f>
        <v>5.1447449172792922E-3</v>
      </c>
      <c r="P138" s="32">
        <f>IF(Table2[[#This Row],[clicks]]=0,0,Table2[[#This Row],[spend_inr]]/Table2[[#This Row],[clicks]])</f>
        <v>15.285355329949239</v>
      </c>
      <c r="Q138" s="31">
        <f>IF(Table2[[#This Row],[clicks]]=0,0,Table2[[#This Row],[conversions]]/Table2[[#This Row],[clicks]])</f>
        <v>2.2842639593908629E-2</v>
      </c>
      <c r="R138" s="30">
        <f>IF(Table2[[#This Row],[spend_inr]]=0,0,(Table2[[#This Row],[revenue_inr]]-Table2[[#This Row],[spend_inr]])/Table2[[#This Row],[spend_inr]])</f>
        <v>0.48747100422918987</v>
      </c>
      <c r="S138" s="31">
        <f>IF(Table2[[#This Row],[impressions]]=0,0,(Table2[[#This Row],[likes]]+Table2[[#This Row],[comments]]+Table2[[#This Row],[shares]])/Table2[[#This Row],[impressions]])</f>
        <v>2.2981601660943029E-3</v>
      </c>
      <c r="T138" s="27"/>
    </row>
    <row r="139" spans="1:20" ht="15.75">
      <c r="A139" s="23" t="s">
        <v>42</v>
      </c>
      <c r="B139" s="20" t="s">
        <v>38</v>
      </c>
      <c r="C139" s="20" t="s">
        <v>45</v>
      </c>
      <c r="D139" s="20" t="s">
        <v>40</v>
      </c>
      <c r="E139" s="20" t="s">
        <v>47</v>
      </c>
      <c r="F139" s="20">
        <v>12248</v>
      </c>
      <c r="G139" s="20">
        <v>59</v>
      </c>
      <c r="H139" s="20">
        <v>0</v>
      </c>
      <c r="I139" s="20">
        <v>6021.55</v>
      </c>
      <c r="J139" s="20">
        <v>0</v>
      </c>
      <c r="K139" s="20">
        <v>25</v>
      </c>
      <c r="L139" s="20">
        <v>3</v>
      </c>
      <c r="M139" s="20">
        <v>1</v>
      </c>
      <c r="N139" s="29">
        <f>IF(Table2[[#This Row],[impressions]]=0,0,Table2[[#This Row],[spend_inr]]/Table2[[#This Row],[impressions]]*1000)</f>
        <v>491.63536903984323</v>
      </c>
      <c r="O139" s="31">
        <f>IF(Table2[[#This Row],[impressions]]=0,0,Table2[[#This Row],[clicks]]/Table2[[#This Row],[impressions]])</f>
        <v>4.8171129980404967E-3</v>
      </c>
      <c r="P139" s="32">
        <f>IF(Table2[[#This Row],[clicks]]=0,0,Table2[[#This Row],[spend_inr]]/Table2[[#This Row],[clicks]])</f>
        <v>102.06016949152543</v>
      </c>
      <c r="Q139" s="31">
        <f>IF(Table2[[#This Row],[clicks]]=0,0,Table2[[#This Row],[conversions]]/Table2[[#This Row],[clicks]])</f>
        <v>0</v>
      </c>
      <c r="R139" s="30">
        <f>IF(Table2[[#This Row],[spend_inr]]=0,0,(Table2[[#This Row],[revenue_inr]]-Table2[[#This Row],[spend_inr]])/Table2[[#This Row],[spend_inr]])</f>
        <v>-1</v>
      </c>
      <c r="S139" s="31">
        <f>IF(Table2[[#This Row],[impressions]]=0,0,(Table2[[#This Row],[likes]]+Table2[[#This Row],[comments]]+Table2[[#This Row],[shares]])/Table2[[#This Row],[impressions]])</f>
        <v>2.3677335075114304E-3</v>
      </c>
      <c r="T139" s="27"/>
    </row>
    <row r="140" spans="1:20" ht="15.75">
      <c r="A140" s="23" t="s">
        <v>52</v>
      </c>
      <c r="B140" s="20" t="s">
        <v>38</v>
      </c>
      <c r="C140" s="20" t="s">
        <v>45</v>
      </c>
      <c r="D140" s="20" t="s">
        <v>40</v>
      </c>
      <c r="E140" s="20" t="s">
        <v>56</v>
      </c>
      <c r="F140" s="20">
        <v>37471</v>
      </c>
      <c r="G140" s="20">
        <v>1357</v>
      </c>
      <c r="H140" s="20">
        <v>29</v>
      </c>
      <c r="I140" s="20">
        <v>6016.43</v>
      </c>
      <c r="J140" s="20">
        <v>37803.480000000003</v>
      </c>
      <c r="K140" s="20">
        <v>0</v>
      </c>
      <c r="L140" s="20">
        <v>0</v>
      </c>
      <c r="M140" s="20">
        <v>0</v>
      </c>
      <c r="N140" s="29">
        <f>IF(Table2[[#This Row],[impressions]]=0,0,Table2[[#This Row],[spend_inr]]/Table2[[#This Row],[impressions]]*1000)</f>
        <v>160.56230151317018</v>
      </c>
      <c r="O140" s="31">
        <f>IF(Table2[[#This Row],[impressions]]=0,0,Table2[[#This Row],[clicks]]/Table2[[#This Row],[impressions]])</f>
        <v>3.6214672680206027E-2</v>
      </c>
      <c r="P140" s="32">
        <f>IF(Table2[[#This Row],[clicks]]=0,0,Table2[[#This Row],[spend_inr]]/Table2[[#This Row],[clicks]])</f>
        <v>4.4336256448047164</v>
      </c>
      <c r="Q140" s="31">
        <f>IF(Table2[[#This Row],[clicks]]=0,0,Table2[[#This Row],[conversions]]/Table2[[#This Row],[clicks]])</f>
        <v>2.1370670596904937E-2</v>
      </c>
      <c r="R140" s="30">
        <f>IF(Table2[[#This Row],[spend_inr]]=0,0,(Table2[[#This Row],[revenue_inr]]-Table2[[#This Row],[spend_inr]])/Table2[[#This Row],[spend_inr]])</f>
        <v>5.28337402745482</v>
      </c>
      <c r="S140" s="31">
        <f>IF(Table2[[#This Row],[impressions]]=0,0,(Table2[[#This Row],[likes]]+Table2[[#This Row],[comments]]+Table2[[#This Row],[shares]])/Table2[[#This Row],[impressions]])</f>
        <v>0</v>
      </c>
      <c r="T140" s="27"/>
    </row>
    <row r="141" spans="1:20" ht="15.75">
      <c r="A141" s="23" t="s">
        <v>51</v>
      </c>
      <c r="B141" s="20" t="s">
        <v>48</v>
      </c>
      <c r="C141" s="20" t="s">
        <v>45</v>
      </c>
      <c r="D141" s="20" t="s">
        <v>40</v>
      </c>
      <c r="E141" s="20" t="s">
        <v>65</v>
      </c>
      <c r="F141" s="20">
        <v>72522</v>
      </c>
      <c r="G141" s="20">
        <v>660</v>
      </c>
      <c r="H141" s="20">
        <v>8</v>
      </c>
      <c r="I141" s="20">
        <v>5913.61</v>
      </c>
      <c r="J141" s="20">
        <v>7429.98</v>
      </c>
      <c r="K141" s="20">
        <v>265</v>
      </c>
      <c r="L141" s="20">
        <v>36</v>
      </c>
      <c r="M141" s="20">
        <v>12</v>
      </c>
      <c r="N141" s="29">
        <f>IF(Table2[[#This Row],[impressions]]=0,0,Table2[[#This Row],[spend_inr]]/Table2[[#This Row],[impressions]]*1000)</f>
        <v>81.542290615261564</v>
      </c>
      <c r="O141" s="31">
        <f>IF(Table2[[#This Row],[impressions]]=0,0,Table2[[#This Row],[clicks]]/Table2[[#This Row],[impressions]])</f>
        <v>9.1006866881773799E-3</v>
      </c>
      <c r="P141" s="32">
        <f>IF(Table2[[#This Row],[clicks]]=0,0,Table2[[#This Row],[spend_inr]]/Table2[[#This Row],[clicks]])</f>
        <v>8.9600151515151509</v>
      </c>
      <c r="Q141" s="31">
        <f>IF(Table2[[#This Row],[clicks]]=0,0,Table2[[#This Row],[conversions]]/Table2[[#This Row],[clicks]])</f>
        <v>1.2121212121212121E-2</v>
      </c>
      <c r="R141" s="30">
        <f>IF(Table2[[#This Row],[spend_inr]]=0,0,(Table2[[#This Row],[revenue_inr]]-Table2[[#This Row],[spend_inr]])/Table2[[#This Row],[spend_inr]])</f>
        <v>0.25642035913765027</v>
      </c>
      <c r="S141" s="31">
        <f>IF(Table2[[#This Row],[impressions]]=0,0,(Table2[[#This Row],[likes]]+Table2[[#This Row],[comments]]+Table2[[#This Row],[shares]])/Table2[[#This Row],[impressions]])</f>
        <v>4.3159317172719999E-3</v>
      </c>
      <c r="T141" s="27"/>
    </row>
    <row r="142" spans="1:20" ht="15.75">
      <c r="A142" s="23" t="s">
        <v>42</v>
      </c>
      <c r="B142" s="20" t="s">
        <v>43</v>
      </c>
      <c r="C142" s="20" t="s">
        <v>49</v>
      </c>
      <c r="D142" s="20" t="s">
        <v>40</v>
      </c>
      <c r="E142" s="20" t="s">
        <v>50</v>
      </c>
      <c r="F142" s="20">
        <v>40312</v>
      </c>
      <c r="G142" s="20">
        <v>296</v>
      </c>
      <c r="H142" s="20">
        <v>11</v>
      </c>
      <c r="I142" s="20">
        <v>5913.53</v>
      </c>
      <c r="J142" s="20">
        <v>16443.13</v>
      </c>
      <c r="K142" s="20">
        <v>144</v>
      </c>
      <c r="L142" s="20">
        <v>6</v>
      </c>
      <c r="M142" s="20">
        <v>6</v>
      </c>
      <c r="N142" s="29">
        <f>IF(Table2[[#This Row],[impressions]]=0,0,Table2[[#This Row],[spend_inr]]/Table2[[#This Row],[impressions]]*1000)</f>
        <v>146.69403651518155</v>
      </c>
      <c r="O142" s="31">
        <f>IF(Table2[[#This Row],[impressions]]=0,0,Table2[[#This Row],[clicks]]/Table2[[#This Row],[impressions]])</f>
        <v>7.3427267314943442E-3</v>
      </c>
      <c r="P142" s="32">
        <f>IF(Table2[[#This Row],[clicks]]=0,0,Table2[[#This Row],[spend_inr]]/Table2[[#This Row],[clicks]])</f>
        <v>19.978141891891891</v>
      </c>
      <c r="Q142" s="31">
        <f>IF(Table2[[#This Row],[clicks]]=0,0,Table2[[#This Row],[conversions]]/Table2[[#This Row],[clicks]])</f>
        <v>3.7162162162162164E-2</v>
      </c>
      <c r="R142" s="30">
        <f>IF(Table2[[#This Row],[spend_inr]]=0,0,(Table2[[#This Row],[revenue_inr]]-Table2[[#This Row],[spend_inr]])/Table2[[#This Row],[spend_inr]])</f>
        <v>1.7805946701885342</v>
      </c>
      <c r="S142" s="31">
        <f>IF(Table2[[#This Row],[impressions]]=0,0,(Table2[[#This Row],[likes]]+Table2[[#This Row],[comments]]+Table2[[#This Row],[shares]])/Table2[[#This Row],[impressions]])</f>
        <v>3.8698154395713437E-3</v>
      </c>
      <c r="T142" s="27"/>
    </row>
    <row r="143" spans="1:20" ht="15.75">
      <c r="A143" s="23" t="s">
        <v>42</v>
      </c>
      <c r="B143" s="20" t="s">
        <v>38</v>
      </c>
      <c r="C143" s="20" t="s">
        <v>55</v>
      </c>
      <c r="D143" s="20" t="s">
        <v>40</v>
      </c>
      <c r="E143" s="20" t="s">
        <v>41</v>
      </c>
      <c r="F143" s="20">
        <v>31428</v>
      </c>
      <c r="G143" s="20">
        <v>315</v>
      </c>
      <c r="H143" s="20">
        <v>5</v>
      </c>
      <c r="I143" s="20">
        <v>5910.23</v>
      </c>
      <c r="J143" s="20">
        <v>2912.18</v>
      </c>
      <c r="K143" s="20">
        <v>142</v>
      </c>
      <c r="L143" s="20">
        <v>10</v>
      </c>
      <c r="M143" s="20">
        <v>5</v>
      </c>
      <c r="N143" s="29">
        <f>IF(Table2[[#This Row],[impressions]]=0,0,Table2[[#This Row],[spend_inr]]/Table2[[#This Row],[impressions]]*1000)</f>
        <v>188.05619193076237</v>
      </c>
      <c r="O143" s="31">
        <f>IF(Table2[[#This Row],[impressions]]=0,0,Table2[[#This Row],[clicks]]/Table2[[#This Row],[impressions]])</f>
        <v>1.0022909507445591E-2</v>
      </c>
      <c r="P143" s="32">
        <f>IF(Table2[[#This Row],[clicks]]=0,0,Table2[[#This Row],[spend_inr]]/Table2[[#This Row],[clicks]])</f>
        <v>18.76263492063492</v>
      </c>
      <c r="Q143" s="31">
        <f>IF(Table2[[#This Row],[clicks]]=0,0,Table2[[#This Row],[conversions]]/Table2[[#This Row],[clicks]])</f>
        <v>1.5873015873015872E-2</v>
      </c>
      <c r="R143" s="30">
        <f>IF(Table2[[#This Row],[spend_inr]]=0,0,(Table2[[#This Row],[revenue_inr]]-Table2[[#This Row],[spend_inr]])/Table2[[#This Row],[spend_inr]])</f>
        <v>-0.50726452270047018</v>
      </c>
      <c r="S143" s="31">
        <f>IF(Table2[[#This Row],[impressions]]=0,0,(Table2[[#This Row],[likes]]+Table2[[#This Row],[comments]]+Table2[[#This Row],[shares]])/Table2[[#This Row],[impressions]])</f>
        <v>4.9955453735522461E-3</v>
      </c>
      <c r="T143" s="27"/>
    </row>
    <row r="144" spans="1:20" ht="15.75">
      <c r="A144" s="23" t="s">
        <v>52</v>
      </c>
      <c r="B144" s="20" t="s">
        <v>48</v>
      </c>
      <c r="C144" s="20" t="s">
        <v>54</v>
      </c>
      <c r="D144" s="20" t="s">
        <v>46</v>
      </c>
      <c r="E144" s="20" t="s">
        <v>56</v>
      </c>
      <c r="F144" s="20">
        <v>0</v>
      </c>
      <c r="G144" s="20">
        <v>531</v>
      </c>
      <c r="H144" s="20">
        <v>21</v>
      </c>
      <c r="I144" s="20">
        <v>5876.24</v>
      </c>
      <c r="J144" s="20">
        <v>29237.66</v>
      </c>
      <c r="K144" s="20">
        <v>0</v>
      </c>
      <c r="L144" s="20">
        <v>0</v>
      </c>
      <c r="M144" s="20">
        <v>0</v>
      </c>
      <c r="N144" s="29">
        <f>IF(Table2[[#This Row],[impressions]]=0,0,Table2[[#This Row],[spend_inr]]/Table2[[#This Row],[impressions]]*1000)</f>
        <v>0</v>
      </c>
      <c r="O144" s="31">
        <f>IF(Table2[[#This Row],[impressions]]=0,0,Table2[[#This Row],[clicks]]/Table2[[#This Row],[impressions]])</f>
        <v>0</v>
      </c>
      <c r="P144" s="32">
        <f>IF(Table2[[#This Row],[clicks]]=0,0,Table2[[#This Row],[spend_inr]]/Table2[[#This Row],[clicks]])</f>
        <v>11.066365348399247</v>
      </c>
      <c r="Q144" s="31">
        <f>IF(Table2[[#This Row],[clicks]]=0,0,Table2[[#This Row],[conversions]]/Table2[[#This Row],[clicks]])</f>
        <v>3.954802259887006E-2</v>
      </c>
      <c r="R144" s="30">
        <f>IF(Table2[[#This Row],[spend_inr]]=0,0,(Table2[[#This Row],[revenue_inr]]-Table2[[#This Row],[spend_inr]])/Table2[[#This Row],[spend_inr]])</f>
        <v>3.9755728152696279</v>
      </c>
      <c r="S144" s="31">
        <f>IF(Table2[[#This Row],[impressions]]=0,0,(Table2[[#This Row],[likes]]+Table2[[#This Row],[comments]]+Table2[[#This Row],[shares]])/Table2[[#This Row],[impressions]])</f>
        <v>0</v>
      </c>
      <c r="T144" s="27"/>
    </row>
    <row r="145" spans="1:20" ht="15.75">
      <c r="A145" s="23" t="s">
        <v>42</v>
      </c>
      <c r="B145" s="20" t="s">
        <v>43</v>
      </c>
      <c r="C145" s="20" t="s">
        <v>39</v>
      </c>
      <c r="D145" s="20" t="s">
        <v>46</v>
      </c>
      <c r="E145" s="20" t="s">
        <v>47</v>
      </c>
      <c r="F145" s="20">
        <v>27064</v>
      </c>
      <c r="G145" s="20">
        <v>256</v>
      </c>
      <c r="H145" s="20">
        <v>4</v>
      </c>
      <c r="I145" s="20">
        <v>5868.19</v>
      </c>
      <c r="J145" s="20">
        <v>3123.69</v>
      </c>
      <c r="K145" s="20">
        <v>114</v>
      </c>
      <c r="L145" s="20">
        <v>8</v>
      </c>
      <c r="M145" s="20">
        <v>8</v>
      </c>
      <c r="N145" s="29">
        <f>IF(Table2[[#This Row],[impressions]]=0,0,Table2[[#This Row],[spend_inr]]/Table2[[#This Row],[impressions]]*1000)</f>
        <v>216.82641146911024</v>
      </c>
      <c r="O145" s="31">
        <f>IF(Table2[[#This Row],[impressions]]=0,0,Table2[[#This Row],[clicks]]/Table2[[#This Row],[impressions]])</f>
        <v>9.4590600059119134E-3</v>
      </c>
      <c r="P145" s="32">
        <f>IF(Table2[[#This Row],[clicks]]=0,0,Table2[[#This Row],[spend_inr]]/Table2[[#This Row],[clicks]])</f>
        <v>22.922617187499998</v>
      </c>
      <c r="Q145" s="31">
        <f>IF(Table2[[#This Row],[clicks]]=0,0,Table2[[#This Row],[conversions]]/Table2[[#This Row],[clicks]])</f>
        <v>1.5625E-2</v>
      </c>
      <c r="R145" s="30">
        <f>IF(Table2[[#This Row],[spend_inr]]=0,0,(Table2[[#This Row],[revenue_inr]]-Table2[[#This Row],[spend_inr]])/Table2[[#This Row],[spend_inr]])</f>
        <v>-0.46769105976459519</v>
      </c>
      <c r="S145" s="31">
        <f>IF(Table2[[#This Row],[impressions]]=0,0,(Table2[[#This Row],[likes]]+Table2[[#This Row],[comments]]+Table2[[#This Row],[shares]])/Table2[[#This Row],[impressions]])</f>
        <v>4.8034289092521434E-3</v>
      </c>
      <c r="T145" s="27"/>
    </row>
    <row r="146" spans="1:20" ht="15.75">
      <c r="A146" s="23" t="s">
        <v>52</v>
      </c>
      <c r="B146" s="20" t="s">
        <v>48</v>
      </c>
      <c r="C146" s="20" t="s">
        <v>39</v>
      </c>
      <c r="D146" s="20" t="s">
        <v>40</v>
      </c>
      <c r="E146" s="20" t="s">
        <v>56</v>
      </c>
      <c r="F146" s="20">
        <v>77119</v>
      </c>
      <c r="G146" s="20">
        <v>2142</v>
      </c>
      <c r="H146" s="20">
        <v>124</v>
      </c>
      <c r="I146" s="20">
        <v>5807.3</v>
      </c>
      <c r="J146" s="20">
        <v>131322.57</v>
      </c>
      <c r="K146" s="20">
        <v>0</v>
      </c>
      <c r="L146" s="20">
        <v>0</v>
      </c>
      <c r="M146" s="20">
        <v>0</v>
      </c>
      <c r="N146" s="29">
        <f>IF(Table2[[#This Row],[impressions]]=0,0,Table2[[#This Row],[spend_inr]]/Table2[[#This Row],[impressions]]*1000)</f>
        <v>75.303102996667491</v>
      </c>
      <c r="O146" s="31">
        <f>IF(Table2[[#This Row],[impressions]]=0,0,Table2[[#This Row],[clicks]]/Table2[[#This Row],[impressions]])</f>
        <v>2.7775256421893438E-2</v>
      </c>
      <c r="P146" s="32">
        <f>IF(Table2[[#This Row],[clicks]]=0,0,Table2[[#This Row],[spend_inr]]/Table2[[#This Row],[clicks]])</f>
        <v>2.7111577964519142</v>
      </c>
      <c r="Q146" s="31">
        <f>IF(Table2[[#This Row],[clicks]]=0,0,Table2[[#This Row],[conversions]]/Table2[[#This Row],[clicks]])</f>
        <v>5.7889822595704951E-2</v>
      </c>
      <c r="R146" s="30">
        <f>IF(Table2[[#This Row],[spend_inr]]=0,0,(Table2[[#This Row],[revenue_inr]]-Table2[[#This Row],[spend_inr]])/Table2[[#This Row],[spend_inr]])</f>
        <v>21.613360770065263</v>
      </c>
      <c r="S146" s="31">
        <f>IF(Table2[[#This Row],[impressions]]=0,0,(Table2[[#This Row],[likes]]+Table2[[#This Row],[comments]]+Table2[[#This Row],[shares]])/Table2[[#This Row],[impressions]])</f>
        <v>0</v>
      </c>
      <c r="T146" s="27"/>
    </row>
    <row r="147" spans="1:20" ht="15.75">
      <c r="A147" s="23" t="s">
        <v>52</v>
      </c>
      <c r="B147" s="20" t="s">
        <v>43</v>
      </c>
      <c r="C147" s="20" t="s">
        <v>54</v>
      </c>
      <c r="D147" s="20" t="s">
        <v>40</v>
      </c>
      <c r="E147" s="20" t="s">
        <v>56</v>
      </c>
      <c r="F147" s="20">
        <v>16916</v>
      </c>
      <c r="G147" s="20">
        <v>561</v>
      </c>
      <c r="H147" s="20">
        <v>22</v>
      </c>
      <c r="I147" s="20">
        <v>5776.77</v>
      </c>
      <c r="J147" s="20">
        <v>13309.06</v>
      </c>
      <c r="K147" s="20">
        <v>0</v>
      </c>
      <c r="L147" s="20">
        <v>0</v>
      </c>
      <c r="M147" s="20">
        <v>0</v>
      </c>
      <c r="N147" s="29">
        <f>IF(Table2[[#This Row],[impressions]]=0,0,Table2[[#This Row],[spend_inr]]/Table2[[#This Row],[impressions]]*1000)</f>
        <v>341.49739891227244</v>
      </c>
      <c r="O147" s="31">
        <f>IF(Table2[[#This Row],[impressions]]=0,0,Table2[[#This Row],[clicks]]/Table2[[#This Row],[impressions]])</f>
        <v>3.3163868526838496E-2</v>
      </c>
      <c r="P147" s="32">
        <f>IF(Table2[[#This Row],[clicks]]=0,0,Table2[[#This Row],[spend_inr]]/Table2[[#This Row],[clicks]])</f>
        <v>10.297272727272729</v>
      </c>
      <c r="Q147" s="31">
        <f>IF(Table2[[#This Row],[clicks]]=0,0,Table2[[#This Row],[conversions]]/Table2[[#This Row],[clicks]])</f>
        <v>3.9215686274509803E-2</v>
      </c>
      <c r="R147" s="30">
        <f>IF(Table2[[#This Row],[spend_inr]]=0,0,(Table2[[#This Row],[revenue_inr]]-Table2[[#This Row],[spend_inr]])/Table2[[#This Row],[spend_inr]])</f>
        <v>1.3038930059531535</v>
      </c>
      <c r="S147" s="31">
        <f>IF(Table2[[#This Row],[impressions]]=0,0,(Table2[[#This Row],[likes]]+Table2[[#This Row],[comments]]+Table2[[#This Row],[shares]])/Table2[[#This Row],[impressions]])</f>
        <v>0</v>
      </c>
      <c r="T147" s="27"/>
    </row>
    <row r="148" spans="1:20" ht="15.75">
      <c r="A148" s="23" t="s">
        <v>51</v>
      </c>
      <c r="B148" s="20" t="s">
        <v>43</v>
      </c>
      <c r="C148" s="20" t="s">
        <v>39</v>
      </c>
      <c r="D148" s="20" t="s">
        <v>46</v>
      </c>
      <c r="E148" s="20" t="s">
        <v>50</v>
      </c>
      <c r="F148" s="20">
        <v>26686</v>
      </c>
      <c r="G148" s="20">
        <v>373</v>
      </c>
      <c r="H148" s="20">
        <v>6</v>
      </c>
      <c r="I148" s="20">
        <v>5761.48</v>
      </c>
      <c r="J148" s="20">
        <v>8462.41</v>
      </c>
      <c r="K148" s="20">
        <v>154</v>
      </c>
      <c r="L148" s="20">
        <v>11</v>
      </c>
      <c r="M148" s="20">
        <v>11</v>
      </c>
      <c r="N148" s="29">
        <f>IF(Table2[[#This Row],[impressions]]=0,0,Table2[[#This Row],[spend_inr]]/Table2[[#This Row],[impressions]]*1000)</f>
        <v>215.89897324439781</v>
      </c>
      <c r="O148" s="31">
        <f>IF(Table2[[#This Row],[impressions]]=0,0,Table2[[#This Row],[clicks]]/Table2[[#This Row],[impressions]])</f>
        <v>1.3977366409353219E-2</v>
      </c>
      <c r="P148" s="32">
        <f>IF(Table2[[#This Row],[clicks]]=0,0,Table2[[#This Row],[spend_inr]]/Table2[[#This Row],[clicks]])</f>
        <v>15.446327077747988</v>
      </c>
      <c r="Q148" s="31">
        <f>IF(Table2[[#This Row],[clicks]]=0,0,Table2[[#This Row],[conversions]]/Table2[[#This Row],[clicks]])</f>
        <v>1.6085790884718499E-2</v>
      </c>
      <c r="R148" s="30">
        <f>IF(Table2[[#This Row],[spend_inr]]=0,0,(Table2[[#This Row],[revenue_inr]]-Table2[[#This Row],[spend_inr]])/Table2[[#This Row],[spend_inr]])</f>
        <v>0.46879100508897026</v>
      </c>
      <c r="S148" s="31">
        <f>IF(Table2[[#This Row],[impressions]]=0,0,(Table2[[#This Row],[likes]]+Table2[[#This Row],[comments]]+Table2[[#This Row],[shares]])/Table2[[#This Row],[impressions]])</f>
        <v>6.5952184666117067E-3</v>
      </c>
      <c r="T148" s="27"/>
    </row>
    <row r="149" spans="1:20" ht="15.75">
      <c r="A149" s="23" t="s">
        <v>37</v>
      </c>
      <c r="B149" s="20" t="s">
        <v>38</v>
      </c>
      <c r="C149" s="20" t="s">
        <v>55</v>
      </c>
      <c r="D149" s="20" t="s">
        <v>40</v>
      </c>
      <c r="E149" s="20" t="s">
        <v>50</v>
      </c>
      <c r="F149" s="20">
        <v>79924</v>
      </c>
      <c r="G149" s="20">
        <v>953</v>
      </c>
      <c r="H149" s="20">
        <v>24</v>
      </c>
      <c r="I149" s="20">
        <v>5741.91</v>
      </c>
      <c r="J149" s="20">
        <v>20572.36</v>
      </c>
      <c r="K149" s="20">
        <v>0</v>
      </c>
      <c r="L149" s="20">
        <v>30</v>
      </c>
      <c r="M149" s="20">
        <v>18</v>
      </c>
      <c r="N149" s="29">
        <f>IF(Table2[[#This Row],[impressions]]=0,0,Table2[[#This Row],[spend_inr]]/Table2[[#This Row],[impressions]]*1000)</f>
        <v>71.842125018767831</v>
      </c>
      <c r="O149" s="31">
        <f>IF(Table2[[#This Row],[impressions]]=0,0,Table2[[#This Row],[clicks]]/Table2[[#This Row],[impressions]])</f>
        <v>1.1923827636254441E-2</v>
      </c>
      <c r="P149" s="32">
        <f>IF(Table2[[#This Row],[clicks]]=0,0,Table2[[#This Row],[spend_inr]]/Table2[[#This Row],[clicks]])</f>
        <v>6.0250891920251837</v>
      </c>
      <c r="Q149" s="31">
        <f>IF(Table2[[#This Row],[clicks]]=0,0,Table2[[#This Row],[conversions]]/Table2[[#This Row],[clicks]])</f>
        <v>2.5183630640083946E-2</v>
      </c>
      <c r="R149" s="30">
        <f>IF(Table2[[#This Row],[spend_inr]]=0,0,(Table2[[#This Row],[revenue_inr]]-Table2[[#This Row],[spend_inr]])/Table2[[#This Row],[spend_inr]])</f>
        <v>2.5828426429533033</v>
      </c>
      <c r="S149" s="31">
        <f>IF(Table2[[#This Row],[impressions]]=0,0,(Table2[[#This Row],[likes]]+Table2[[#This Row],[comments]]+Table2[[#This Row],[shares]])/Table2[[#This Row],[impressions]])</f>
        <v>6.0057054201491421E-4</v>
      </c>
      <c r="T149" s="27"/>
    </row>
    <row r="150" spans="1:20" ht="15.75">
      <c r="A150" s="23" t="s">
        <v>42</v>
      </c>
      <c r="B150" s="20" t="s">
        <v>44</v>
      </c>
      <c r="C150" s="20" t="s">
        <v>39</v>
      </c>
      <c r="D150" s="20" t="s">
        <v>46</v>
      </c>
      <c r="E150" s="20" t="s">
        <v>47</v>
      </c>
      <c r="F150" s="20">
        <v>59374</v>
      </c>
      <c r="G150" s="20">
        <v>572</v>
      </c>
      <c r="H150" s="20">
        <v>6</v>
      </c>
      <c r="I150" s="20">
        <v>5662.4</v>
      </c>
      <c r="J150" s="20">
        <v>5013.08</v>
      </c>
      <c r="K150" s="20">
        <v>206</v>
      </c>
      <c r="L150" s="20">
        <v>13</v>
      </c>
      <c r="M150" s="20">
        <v>12</v>
      </c>
      <c r="N150" s="29">
        <f>IF(Table2[[#This Row],[impressions]]=0,0,Table2[[#This Row],[spend_inr]]/Table2[[#This Row],[impressions]]*1000)</f>
        <v>95.368343045777607</v>
      </c>
      <c r="O150" s="31">
        <f>IF(Table2[[#This Row],[impressions]]=0,0,Table2[[#This Row],[clicks]]/Table2[[#This Row],[impressions]])</f>
        <v>9.6338464647825646E-3</v>
      </c>
      <c r="P150" s="32">
        <f>IF(Table2[[#This Row],[clicks]]=0,0,Table2[[#This Row],[spend_inr]]/Table2[[#This Row],[clicks]])</f>
        <v>9.8993006993006993</v>
      </c>
      <c r="Q150" s="31">
        <f>IF(Table2[[#This Row],[clicks]]=0,0,Table2[[#This Row],[conversions]]/Table2[[#This Row],[clicks]])</f>
        <v>1.048951048951049E-2</v>
      </c>
      <c r="R150" s="30">
        <f>IF(Table2[[#This Row],[spend_inr]]=0,0,(Table2[[#This Row],[revenue_inr]]-Table2[[#This Row],[spend_inr]])/Table2[[#This Row],[spend_inr]])</f>
        <v>-0.1146722237920316</v>
      </c>
      <c r="S150" s="31">
        <f>IF(Table2[[#This Row],[impressions]]=0,0,(Table2[[#This Row],[likes]]+Table2[[#This Row],[comments]]+Table2[[#This Row],[shares]])/Table2[[#This Row],[impressions]])</f>
        <v>3.890591841546805E-3</v>
      </c>
      <c r="T150" s="27"/>
    </row>
    <row r="151" spans="1:20" ht="15.75">
      <c r="A151" s="23" t="s">
        <v>37</v>
      </c>
      <c r="B151" s="20" t="s">
        <v>48</v>
      </c>
      <c r="C151" s="20" t="s">
        <v>45</v>
      </c>
      <c r="D151" s="20" t="s">
        <v>46</v>
      </c>
      <c r="E151" s="20" t="s">
        <v>41</v>
      </c>
      <c r="F151" s="20">
        <v>60334</v>
      </c>
      <c r="G151" s="20">
        <v>778</v>
      </c>
      <c r="H151" s="20">
        <v>13</v>
      </c>
      <c r="I151" s="20">
        <v>5656.98</v>
      </c>
      <c r="J151" s="20">
        <v>11861.14</v>
      </c>
      <c r="K151" s="20">
        <v>300</v>
      </c>
      <c r="L151" s="20">
        <v>19</v>
      </c>
      <c r="M151" s="20">
        <v>13</v>
      </c>
      <c r="N151" s="29">
        <f>IF(Table2[[#This Row],[impressions]]=0,0,Table2[[#This Row],[spend_inr]]/Table2[[#This Row],[impressions]]*1000)</f>
        <v>93.761063413663933</v>
      </c>
      <c r="O151" s="31">
        <f>IF(Table2[[#This Row],[impressions]]=0,0,Table2[[#This Row],[clicks]]/Table2[[#This Row],[impressions]])</f>
        <v>1.2894885139390725E-2</v>
      </c>
      <c r="P151" s="32">
        <f>IF(Table2[[#This Row],[clicks]]=0,0,Table2[[#This Row],[spend_inr]]/Table2[[#This Row],[clicks]])</f>
        <v>7.2711825192802051</v>
      </c>
      <c r="Q151" s="31">
        <f>IF(Table2[[#This Row],[clicks]]=0,0,Table2[[#This Row],[conversions]]/Table2[[#This Row],[clicks]])</f>
        <v>1.6709511568123392E-2</v>
      </c>
      <c r="R151" s="30">
        <f>IF(Table2[[#This Row],[spend_inr]]=0,0,(Table2[[#This Row],[revenue_inr]]-Table2[[#This Row],[spend_inr]])/Table2[[#This Row],[spend_inr]])</f>
        <v>1.0967265219251261</v>
      </c>
      <c r="S151" s="31">
        <f>IF(Table2[[#This Row],[impressions]]=0,0,(Table2[[#This Row],[likes]]+Table2[[#This Row],[comments]]+Table2[[#This Row],[shares]])/Table2[[#This Row],[impressions]])</f>
        <v>5.502701627606325E-3</v>
      </c>
      <c r="T151" s="27"/>
    </row>
    <row r="152" spans="1:20" ht="15.75">
      <c r="A152" s="23" t="s">
        <v>51</v>
      </c>
      <c r="B152" s="20" t="s">
        <v>38</v>
      </c>
      <c r="C152" s="20" t="s">
        <v>49</v>
      </c>
      <c r="D152" s="20" t="s">
        <v>46</v>
      </c>
      <c r="E152" s="20" t="s">
        <v>50</v>
      </c>
      <c r="F152" s="20">
        <v>35818</v>
      </c>
      <c r="G152" s="20">
        <v>283</v>
      </c>
      <c r="H152" s="20">
        <v>6</v>
      </c>
      <c r="I152" s="20">
        <v>5594.28</v>
      </c>
      <c r="J152" s="20">
        <v>6048.82</v>
      </c>
      <c r="K152" s="20">
        <v>134</v>
      </c>
      <c r="L152" s="20">
        <v>11</v>
      </c>
      <c r="M152" s="20">
        <v>10</v>
      </c>
      <c r="N152" s="29">
        <f>IF(Table2[[#This Row],[impressions]]=0,0,Table2[[#This Row],[spend_inr]]/Table2[[#This Row],[impressions]]*1000)</f>
        <v>156.18627505723379</v>
      </c>
      <c r="O152" s="31">
        <f>IF(Table2[[#This Row],[impressions]]=0,0,Table2[[#This Row],[clicks]]/Table2[[#This Row],[impressions]])</f>
        <v>7.9010553353062712E-3</v>
      </c>
      <c r="P152" s="32">
        <f>IF(Table2[[#This Row],[clicks]]=0,0,Table2[[#This Row],[spend_inr]]/Table2[[#This Row],[clicks]])</f>
        <v>19.767773851590103</v>
      </c>
      <c r="Q152" s="31">
        <f>IF(Table2[[#This Row],[clicks]]=0,0,Table2[[#This Row],[conversions]]/Table2[[#This Row],[clicks]])</f>
        <v>2.1201413427561839E-2</v>
      </c>
      <c r="R152" s="30">
        <f>IF(Table2[[#This Row],[spend_inr]]=0,0,(Table2[[#This Row],[revenue_inr]]-Table2[[#This Row],[spend_inr]])/Table2[[#This Row],[spend_inr]])</f>
        <v>8.1250849081561882E-2</v>
      </c>
      <c r="S152" s="31">
        <f>IF(Table2[[#This Row],[impressions]]=0,0,(Table2[[#This Row],[likes]]+Table2[[#This Row],[comments]]+Table2[[#This Row],[shares]])/Table2[[#This Row],[impressions]])</f>
        <v>4.3274331341783458E-3</v>
      </c>
      <c r="T152" s="27"/>
    </row>
    <row r="153" spans="1:20" ht="15.75">
      <c r="A153" s="23" t="s">
        <v>51</v>
      </c>
      <c r="B153" s="20" t="s">
        <v>44</v>
      </c>
      <c r="C153" s="20" t="s">
        <v>49</v>
      </c>
      <c r="D153" s="20" t="s">
        <v>40</v>
      </c>
      <c r="E153" s="20" t="s">
        <v>50</v>
      </c>
      <c r="F153" s="20">
        <v>62516</v>
      </c>
      <c r="G153" s="20">
        <v>853</v>
      </c>
      <c r="H153" s="20">
        <v>15</v>
      </c>
      <c r="I153" s="20">
        <v>5591.86</v>
      </c>
      <c r="J153" s="20">
        <v>10122.209999999999</v>
      </c>
      <c r="K153" s="20">
        <v>258</v>
      </c>
      <c r="L153" s="20">
        <v>46</v>
      </c>
      <c r="M153" s="20">
        <v>27</v>
      </c>
      <c r="N153" s="29">
        <f>IF(Table2[[#This Row],[impressions]]=0,0,Table2[[#This Row],[spend_inr]]/Table2[[#This Row],[impressions]]*1000)</f>
        <v>89.446861603429511</v>
      </c>
      <c r="O153" s="31">
        <f>IF(Table2[[#This Row],[impressions]]=0,0,Table2[[#This Row],[clicks]]/Table2[[#This Row],[impressions]])</f>
        <v>1.3644507006206411E-2</v>
      </c>
      <c r="P153" s="32">
        <f>IF(Table2[[#This Row],[clicks]]=0,0,Table2[[#This Row],[spend_inr]]/Table2[[#This Row],[clicks]])</f>
        <v>6.5555216881594367</v>
      </c>
      <c r="Q153" s="31">
        <f>IF(Table2[[#This Row],[clicks]]=0,0,Table2[[#This Row],[conversions]]/Table2[[#This Row],[clicks]])</f>
        <v>1.7584994138335287E-2</v>
      </c>
      <c r="R153" s="30">
        <f>IF(Table2[[#This Row],[spend_inr]]=0,0,(Table2[[#This Row],[revenue_inr]]-Table2[[#This Row],[spend_inr]])/Table2[[#This Row],[spend_inr]])</f>
        <v>0.81016870951704789</v>
      </c>
      <c r="S153" s="31">
        <f>IF(Table2[[#This Row],[impressions]]=0,0,(Table2[[#This Row],[likes]]+Table2[[#This Row],[comments]]+Table2[[#This Row],[shares]])/Table2[[#This Row],[impressions]])</f>
        <v>5.2946445709898269E-3</v>
      </c>
      <c r="T153" s="27"/>
    </row>
    <row r="154" spans="1:20" ht="15.75">
      <c r="A154" s="23" t="s">
        <v>52</v>
      </c>
      <c r="B154" s="20" t="s">
        <v>48</v>
      </c>
      <c r="C154" s="20" t="s">
        <v>55</v>
      </c>
      <c r="D154" s="20" t="s">
        <v>46</v>
      </c>
      <c r="E154" s="20" t="s">
        <v>53</v>
      </c>
      <c r="F154" s="20">
        <v>39026</v>
      </c>
      <c r="G154" s="20">
        <v>884</v>
      </c>
      <c r="H154" s="20">
        <v>41</v>
      </c>
      <c r="I154" s="20">
        <v>5578.51</v>
      </c>
      <c r="J154" s="20">
        <v>25143.38</v>
      </c>
      <c r="K154" s="20">
        <v>0</v>
      </c>
      <c r="L154" s="20">
        <v>0</v>
      </c>
      <c r="M154" s="20">
        <v>0</v>
      </c>
      <c r="N154" s="29">
        <f>IF(Table2[[#This Row],[impressions]]=0,0,Table2[[#This Row],[spend_inr]]/Table2[[#This Row],[impressions]]*1000)</f>
        <v>142.94342233382872</v>
      </c>
      <c r="O154" s="31">
        <f>IF(Table2[[#This Row],[impressions]]=0,0,Table2[[#This Row],[clicks]]/Table2[[#This Row],[impressions]])</f>
        <v>2.2651565622918056E-2</v>
      </c>
      <c r="P154" s="32">
        <f>IF(Table2[[#This Row],[clicks]]=0,0,Table2[[#This Row],[spend_inr]]/Table2[[#This Row],[clicks]])</f>
        <v>6.3105316742081454</v>
      </c>
      <c r="Q154" s="31">
        <f>IF(Table2[[#This Row],[clicks]]=0,0,Table2[[#This Row],[conversions]]/Table2[[#This Row],[clicks]])</f>
        <v>4.6380090497737558E-2</v>
      </c>
      <c r="R154" s="30">
        <f>IF(Table2[[#This Row],[spend_inr]]=0,0,(Table2[[#This Row],[revenue_inr]]-Table2[[#This Row],[spend_inr]])/Table2[[#This Row],[spend_inr]])</f>
        <v>3.5071856104945591</v>
      </c>
      <c r="S154" s="31">
        <f>IF(Table2[[#This Row],[impressions]]=0,0,(Table2[[#This Row],[likes]]+Table2[[#This Row],[comments]]+Table2[[#This Row],[shares]])/Table2[[#This Row],[impressions]])</f>
        <v>0</v>
      </c>
      <c r="T154" s="27"/>
    </row>
    <row r="155" spans="1:20" ht="15.75">
      <c r="A155" s="23" t="s">
        <v>42</v>
      </c>
      <c r="B155" s="20" t="s">
        <v>44</v>
      </c>
      <c r="C155" s="20" t="s">
        <v>54</v>
      </c>
      <c r="D155" s="20" t="s">
        <v>40</v>
      </c>
      <c r="E155" s="20" t="s">
        <v>50</v>
      </c>
      <c r="F155" s="20">
        <v>34346</v>
      </c>
      <c r="G155" s="20">
        <v>217</v>
      </c>
      <c r="H155" s="20">
        <v>5</v>
      </c>
      <c r="I155" s="20">
        <v>5574.42</v>
      </c>
      <c r="J155" s="20">
        <v>2508.8000000000002</v>
      </c>
      <c r="K155" s="20">
        <v>107</v>
      </c>
      <c r="L155" s="20">
        <v>11</v>
      </c>
      <c r="M155" s="20">
        <v>3</v>
      </c>
      <c r="N155" s="29">
        <f>IF(Table2[[#This Row],[impressions]]=0,0,Table2[[#This Row],[spend_inr]]/Table2[[#This Row],[impressions]]*1000)</f>
        <v>162.30186921329994</v>
      </c>
      <c r="O155" s="31">
        <f>IF(Table2[[#This Row],[impressions]]=0,0,Table2[[#This Row],[clicks]]/Table2[[#This Row],[impressions]])</f>
        <v>6.3180574157107091E-3</v>
      </c>
      <c r="P155" s="32">
        <f>IF(Table2[[#This Row],[clicks]]=0,0,Table2[[#This Row],[spend_inr]]/Table2[[#This Row],[clicks]])</f>
        <v>25.688571428571429</v>
      </c>
      <c r="Q155" s="31">
        <f>IF(Table2[[#This Row],[clicks]]=0,0,Table2[[#This Row],[conversions]]/Table2[[#This Row],[clicks]])</f>
        <v>2.3041474654377881E-2</v>
      </c>
      <c r="R155" s="30">
        <f>IF(Table2[[#This Row],[spend_inr]]=0,0,(Table2[[#This Row],[revenue_inr]]-Table2[[#This Row],[spend_inr]])/Table2[[#This Row],[spend_inr]])</f>
        <v>-0.54994420944241729</v>
      </c>
      <c r="S155" s="31">
        <f>IF(Table2[[#This Row],[impressions]]=0,0,(Table2[[#This Row],[likes]]+Table2[[#This Row],[comments]]+Table2[[#This Row],[shares]])/Table2[[#This Row],[impressions]])</f>
        <v>3.5229721073778606E-3</v>
      </c>
      <c r="T155" s="27"/>
    </row>
    <row r="156" spans="1:20" ht="15.75">
      <c r="A156" s="23" t="s">
        <v>42</v>
      </c>
      <c r="B156" s="20" t="s">
        <v>48</v>
      </c>
      <c r="C156" s="20" t="s">
        <v>45</v>
      </c>
      <c r="D156" s="20" t="s">
        <v>40</v>
      </c>
      <c r="E156" s="20" t="s">
        <v>41</v>
      </c>
      <c r="F156" s="20">
        <v>65484</v>
      </c>
      <c r="G156" s="20">
        <v>641</v>
      </c>
      <c r="H156" s="20">
        <v>19</v>
      </c>
      <c r="I156" s="20">
        <v>5548.85</v>
      </c>
      <c r="J156" s="20">
        <v>20697.61</v>
      </c>
      <c r="K156" s="20">
        <v>217</v>
      </c>
      <c r="L156" s="20">
        <v>24</v>
      </c>
      <c r="M156" s="20">
        <v>12</v>
      </c>
      <c r="N156" s="29">
        <f>IF(Table2[[#This Row],[impressions]]=0,0,Table2[[#This Row],[spend_inr]]/Table2[[#This Row],[impressions]]*1000)</f>
        <v>84.735966037505349</v>
      </c>
      <c r="O156" s="31">
        <f>IF(Table2[[#This Row],[impressions]]=0,0,Table2[[#This Row],[clicks]]/Table2[[#This Row],[impressions]])</f>
        <v>9.7886506627573155E-3</v>
      </c>
      <c r="P156" s="32">
        <f>IF(Table2[[#This Row],[clicks]]=0,0,Table2[[#This Row],[spend_inr]]/Table2[[#This Row],[clicks]])</f>
        <v>8.656552262090484</v>
      </c>
      <c r="Q156" s="31">
        <f>IF(Table2[[#This Row],[clicks]]=0,0,Table2[[#This Row],[conversions]]/Table2[[#This Row],[clicks]])</f>
        <v>2.9641185647425898E-2</v>
      </c>
      <c r="R156" s="30">
        <f>IF(Table2[[#This Row],[spend_inr]]=0,0,(Table2[[#This Row],[revenue_inr]]-Table2[[#This Row],[spend_inr]])/Table2[[#This Row],[spend_inr]])</f>
        <v>2.7300719969002585</v>
      </c>
      <c r="S156" s="31">
        <f>IF(Table2[[#This Row],[impressions]]=0,0,(Table2[[#This Row],[likes]]+Table2[[#This Row],[comments]]+Table2[[#This Row],[shares]])/Table2[[#This Row],[impressions]])</f>
        <v>3.8635391851444627E-3</v>
      </c>
      <c r="T156" s="27"/>
    </row>
    <row r="157" spans="1:20" ht="15.75">
      <c r="A157" s="23" t="s">
        <v>37</v>
      </c>
      <c r="B157" s="20" t="s">
        <v>44</v>
      </c>
      <c r="C157" s="20" t="s">
        <v>54</v>
      </c>
      <c r="D157" s="20" t="s">
        <v>46</v>
      </c>
      <c r="E157" s="20" t="s">
        <v>47</v>
      </c>
      <c r="F157" s="20">
        <v>34323</v>
      </c>
      <c r="G157" s="20">
        <v>455</v>
      </c>
      <c r="H157" s="20">
        <v>14</v>
      </c>
      <c r="I157" s="20">
        <v>5535.41</v>
      </c>
      <c r="J157" s="20">
        <v>14496.56</v>
      </c>
      <c r="K157" s="20">
        <v>167</v>
      </c>
      <c r="L157" s="20">
        <v>11</v>
      </c>
      <c r="M157" s="20">
        <v>13</v>
      </c>
      <c r="N157" s="29">
        <f>IF(Table2[[#This Row],[impressions]]=0,0,Table2[[#This Row],[spend_inr]]/Table2[[#This Row],[impressions]]*1000)</f>
        <v>161.27407277918596</v>
      </c>
      <c r="O157" s="31">
        <f>IF(Table2[[#This Row],[impressions]]=0,0,Table2[[#This Row],[clicks]]/Table2[[#This Row],[impressions]])</f>
        <v>1.3256416979867727E-2</v>
      </c>
      <c r="P157" s="32">
        <f>IF(Table2[[#This Row],[clicks]]=0,0,Table2[[#This Row],[spend_inr]]/Table2[[#This Row],[clicks]])</f>
        <v>12.165736263736264</v>
      </c>
      <c r="Q157" s="31">
        <f>IF(Table2[[#This Row],[clicks]]=0,0,Table2[[#This Row],[conversions]]/Table2[[#This Row],[clicks]])</f>
        <v>3.0769230769230771E-2</v>
      </c>
      <c r="R157" s="30">
        <f>IF(Table2[[#This Row],[spend_inr]]=0,0,(Table2[[#This Row],[revenue_inr]]-Table2[[#This Row],[spend_inr]])/Table2[[#This Row],[spend_inr]])</f>
        <v>1.6188773731304456</v>
      </c>
      <c r="S157" s="31">
        <f>IF(Table2[[#This Row],[impressions]]=0,0,(Table2[[#This Row],[likes]]+Table2[[#This Row],[comments]]+Table2[[#This Row],[shares]])/Table2[[#This Row],[impressions]])</f>
        <v>5.564781633307112E-3</v>
      </c>
      <c r="T157" s="27"/>
    </row>
    <row r="158" spans="1:20" ht="15.75">
      <c r="A158" s="23" t="s">
        <v>42</v>
      </c>
      <c r="B158" s="20" t="s">
        <v>48</v>
      </c>
      <c r="C158" s="20" t="s">
        <v>45</v>
      </c>
      <c r="D158" s="20" t="s">
        <v>46</v>
      </c>
      <c r="E158" s="20" t="s">
        <v>41</v>
      </c>
      <c r="F158" s="20">
        <v>25696</v>
      </c>
      <c r="G158" s="20">
        <v>189</v>
      </c>
      <c r="H158" s="20">
        <v>4</v>
      </c>
      <c r="I158" s="20">
        <v>5527.11</v>
      </c>
      <c r="J158" s="20">
        <v>4191.0600000000004</v>
      </c>
      <c r="K158" s="20">
        <v>92</v>
      </c>
      <c r="L158" s="20">
        <v>4</v>
      </c>
      <c r="M158" s="20">
        <v>2</v>
      </c>
      <c r="N158" s="29">
        <f>IF(Table2[[#This Row],[impressions]]=0,0,Table2[[#This Row],[spend_inr]]/Table2[[#This Row],[impressions]]*1000)</f>
        <v>215.09612391033622</v>
      </c>
      <c r="O158" s="31">
        <f>IF(Table2[[#This Row],[impressions]]=0,0,Table2[[#This Row],[clicks]]/Table2[[#This Row],[impressions]])</f>
        <v>7.3552303860523038E-3</v>
      </c>
      <c r="P158" s="32">
        <f>IF(Table2[[#This Row],[clicks]]=0,0,Table2[[#This Row],[spend_inr]]/Table2[[#This Row],[clicks]])</f>
        <v>29.243968253968252</v>
      </c>
      <c r="Q158" s="31">
        <f>IF(Table2[[#This Row],[clicks]]=0,0,Table2[[#This Row],[conversions]]/Table2[[#This Row],[clicks]])</f>
        <v>2.1164021164021163E-2</v>
      </c>
      <c r="R158" s="30">
        <f>IF(Table2[[#This Row],[spend_inr]]=0,0,(Table2[[#This Row],[revenue_inr]]-Table2[[#This Row],[spend_inr]])/Table2[[#This Row],[spend_inr]])</f>
        <v>-0.24172668899298175</v>
      </c>
      <c r="S158" s="31">
        <f>IF(Table2[[#This Row],[impressions]]=0,0,(Table2[[#This Row],[likes]]+Table2[[#This Row],[comments]]+Table2[[#This Row],[shares]])/Table2[[#This Row],[impressions]])</f>
        <v>3.8138231631382317E-3</v>
      </c>
      <c r="T158" s="27"/>
    </row>
    <row r="159" spans="1:20" ht="15.75">
      <c r="A159" s="23" t="s">
        <v>52</v>
      </c>
      <c r="B159" s="20" t="s">
        <v>38</v>
      </c>
      <c r="C159" s="20" t="s">
        <v>55</v>
      </c>
      <c r="D159" s="20" t="s">
        <v>40</v>
      </c>
      <c r="E159" s="20" t="s">
        <v>56</v>
      </c>
      <c r="F159" s="20">
        <v>66882</v>
      </c>
      <c r="G159" s="20">
        <v>2369</v>
      </c>
      <c r="H159" s="20">
        <v>48</v>
      </c>
      <c r="I159" s="20">
        <v>5512.22</v>
      </c>
      <c r="J159" s="20">
        <v>41680.410000000003</v>
      </c>
      <c r="K159" s="20">
        <v>0</v>
      </c>
      <c r="L159" s="20">
        <v>0</v>
      </c>
      <c r="M159" s="20">
        <v>0</v>
      </c>
      <c r="N159" s="29">
        <f>IF(Table2[[#This Row],[impressions]]=0,0,Table2[[#This Row],[spend_inr]]/Table2[[#This Row],[impressions]]*1000)</f>
        <v>82.41709279028737</v>
      </c>
      <c r="O159" s="31">
        <f>IF(Table2[[#This Row],[impressions]]=0,0,Table2[[#This Row],[clicks]]/Table2[[#This Row],[impressions]])</f>
        <v>3.5420591489488951E-2</v>
      </c>
      <c r="P159" s="32">
        <f>IF(Table2[[#This Row],[clicks]]=0,0,Table2[[#This Row],[spend_inr]]/Table2[[#This Row],[clicks]])</f>
        <v>2.3268130012663573</v>
      </c>
      <c r="Q159" s="31">
        <f>IF(Table2[[#This Row],[clicks]]=0,0,Table2[[#This Row],[conversions]]/Table2[[#This Row],[clicks]])</f>
        <v>2.0261713803292527E-2</v>
      </c>
      <c r="R159" s="30">
        <f>IF(Table2[[#This Row],[spend_inr]]=0,0,(Table2[[#This Row],[revenue_inr]]-Table2[[#This Row],[spend_inr]])/Table2[[#This Row],[spend_inr]])</f>
        <v>6.5614561828083788</v>
      </c>
      <c r="S159" s="31">
        <f>IF(Table2[[#This Row],[impressions]]=0,0,(Table2[[#This Row],[likes]]+Table2[[#This Row],[comments]]+Table2[[#This Row],[shares]])/Table2[[#This Row],[impressions]])</f>
        <v>0</v>
      </c>
      <c r="T159" s="27"/>
    </row>
    <row r="160" spans="1:20" ht="15.75">
      <c r="A160" s="23" t="s">
        <v>37</v>
      </c>
      <c r="B160" s="20" t="s">
        <v>48</v>
      </c>
      <c r="C160" s="20" t="s">
        <v>45</v>
      </c>
      <c r="D160" s="20" t="s">
        <v>40</v>
      </c>
      <c r="E160" s="20" t="s">
        <v>41</v>
      </c>
      <c r="F160" s="20">
        <v>33926</v>
      </c>
      <c r="G160" s="20">
        <v>291</v>
      </c>
      <c r="H160" s="20">
        <v>9</v>
      </c>
      <c r="I160" s="20">
        <v>5472.83</v>
      </c>
      <c r="J160" s="20">
        <v>5771.37</v>
      </c>
      <c r="K160" s="20">
        <v>135</v>
      </c>
      <c r="L160" s="20">
        <v>7</v>
      </c>
      <c r="M160" s="20">
        <v>3</v>
      </c>
      <c r="N160" s="29">
        <f>IF(Table2[[#This Row],[impressions]]=0,0,Table2[[#This Row],[spend_inr]]/Table2[[#This Row],[impressions]]*1000)</f>
        <v>161.3166892648706</v>
      </c>
      <c r="O160" s="31">
        <f>IF(Table2[[#This Row],[impressions]]=0,0,Table2[[#This Row],[clicks]]/Table2[[#This Row],[impressions]])</f>
        <v>8.5774921888816837E-3</v>
      </c>
      <c r="P160" s="32">
        <f>IF(Table2[[#This Row],[clicks]]=0,0,Table2[[#This Row],[spend_inr]]/Table2[[#This Row],[clicks]])</f>
        <v>18.806975945017182</v>
      </c>
      <c r="Q160" s="31">
        <f>IF(Table2[[#This Row],[clicks]]=0,0,Table2[[#This Row],[conversions]]/Table2[[#This Row],[clicks]])</f>
        <v>3.0927835051546393E-2</v>
      </c>
      <c r="R160" s="30">
        <f>IF(Table2[[#This Row],[spend_inr]]=0,0,(Table2[[#This Row],[revenue_inr]]-Table2[[#This Row],[spend_inr]])/Table2[[#This Row],[spend_inr]])</f>
        <v>5.4549474403553545E-2</v>
      </c>
      <c r="S160" s="31">
        <f>IF(Table2[[#This Row],[impressions]]=0,0,(Table2[[#This Row],[likes]]+Table2[[#This Row],[comments]]+Table2[[#This Row],[shares]])/Table2[[#This Row],[impressions]])</f>
        <v>4.2740081353534161E-3</v>
      </c>
      <c r="T160" s="27"/>
    </row>
    <row r="161" spans="1:20" ht="15.75">
      <c r="A161" s="23" t="s">
        <v>42</v>
      </c>
      <c r="B161" s="20" t="s">
        <v>38</v>
      </c>
      <c r="C161" s="20" t="s">
        <v>55</v>
      </c>
      <c r="D161" s="20" t="s">
        <v>46</v>
      </c>
      <c r="E161" s="20" t="s">
        <v>47</v>
      </c>
      <c r="F161" s="20">
        <v>23078</v>
      </c>
      <c r="G161" s="20">
        <v>134</v>
      </c>
      <c r="H161" s="20">
        <v>3</v>
      </c>
      <c r="I161" s="20">
        <v>5430.09</v>
      </c>
      <c r="J161" s="20">
        <v>3269.7</v>
      </c>
      <c r="K161" s="20">
        <v>50</v>
      </c>
      <c r="L161" s="20">
        <v>6</v>
      </c>
      <c r="M161" s="20">
        <v>5</v>
      </c>
      <c r="N161" s="29">
        <f>IF(Table2[[#This Row],[impressions]]=0,0,Table2[[#This Row],[spend_inr]]/Table2[[#This Row],[impressions]]*1000)</f>
        <v>235.29291966374905</v>
      </c>
      <c r="O161" s="31">
        <f>IF(Table2[[#This Row],[impressions]]=0,0,Table2[[#This Row],[clicks]]/Table2[[#This Row],[impressions]])</f>
        <v>5.8063957015339288E-3</v>
      </c>
      <c r="P161" s="32">
        <f>IF(Table2[[#This Row],[clicks]]=0,0,Table2[[#This Row],[spend_inr]]/Table2[[#This Row],[clicks]])</f>
        <v>40.523059701492535</v>
      </c>
      <c r="Q161" s="31">
        <f>IF(Table2[[#This Row],[clicks]]=0,0,Table2[[#This Row],[conversions]]/Table2[[#This Row],[clicks]])</f>
        <v>2.2388059701492536E-2</v>
      </c>
      <c r="R161" s="30">
        <f>IF(Table2[[#This Row],[spend_inr]]=0,0,(Table2[[#This Row],[revenue_inr]]-Table2[[#This Row],[spend_inr]])/Table2[[#This Row],[spend_inr]])</f>
        <v>-0.39785528416656085</v>
      </c>
      <c r="S161" s="31">
        <f>IF(Table2[[#This Row],[impressions]]=0,0,(Table2[[#This Row],[likes]]+Table2[[#This Row],[comments]]+Table2[[#This Row],[shares]])/Table2[[#This Row],[impressions]])</f>
        <v>2.6432099835341019E-3</v>
      </c>
      <c r="T161" s="27"/>
    </row>
    <row r="162" spans="1:20" ht="15.75">
      <c r="A162" s="23" t="s">
        <v>51</v>
      </c>
      <c r="B162" s="20" t="s">
        <v>48</v>
      </c>
      <c r="C162" s="20" t="s">
        <v>55</v>
      </c>
      <c r="D162" s="20" t="s">
        <v>46</v>
      </c>
      <c r="E162" s="20" t="s">
        <v>50</v>
      </c>
      <c r="F162" s="20">
        <v>75500</v>
      </c>
      <c r="G162" s="20">
        <v>920</v>
      </c>
      <c r="H162" s="20">
        <v>11</v>
      </c>
      <c r="I162" s="20">
        <v>5410.92</v>
      </c>
      <c r="J162" s="20">
        <v>13210.26</v>
      </c>
      <c r="K162" s="20">
        <v>449</v>
      </c>
      <c r="L162" s="20">
        <v>24</v>
      </c>
      <c r="M162" s="20">
        <v>12</v>
      </c>
      <c r="N162" s="29">
        <f>IF(Table2[[#This Row],[impressions]]=0,0,Table2[[#This Row],[spend_inr]]/Table2[[#This Row],[impressions]]*1000)</f>
        <v>71.667814569536432</v>
      </c>
      <c r="O162" s="31">
        <f>IF(Table2[[#This Row],[impressions]]=0,0,Table2[[#This Row],[clicks]]/Table2[[#This Row],[impressions]])</f>
        <v>1.2185430463576159E-2</v>
      </c>
      <c r="P162" s="32">
        <f>IF(Table2[[#This Row],[clicks]]=0,0,Table2[[#This Row],[spend_inr]]/Table2[[#This Row],[clicks]])</f>
        <v>5.8814347826086957</v>
      </c>
      <c r="Q162" s="31">
        <f>IF(Table2[[#This Row],[clicks]]=0,0,Table2[[#This Row],[conversions]]/Table2[[#This Row],[clicks]])</f>
        <v>1.1956521739130435E-2</v>
      </c>
      <c r="R162" s="30">
        <f>IF(Table2[[#This Row],[spend_inr]]=0,0,(Table2[[#This Row],[revenue_inr]]-Table2[[#This Row],[spend_inr]])/Table2[[#This Row],[spend_inr]])</f>
        <v>1.4414073761948061</v>
      </c>
      <c r="S162" s="31">
        <f>IF(Table2[[#This Row],[impressions]]=0,0,(Table2[[#This Row],[likes]]+Table2[[#This Row],[comments]]+Table2[[#This Row],[shares]])/Table2[[#This Row],[impressions]])</f>
        <v>6.4238410596026488E-3</v>
      </c>
      <c r="T162" s="27"/>
    </row>
    <row r="163" spans="1:20" ht="15.75">
      <c r="A163" s="23" t="s">
        <v>52</v>
      </c>
      <c r="B163" s="20" t="s">
        <v>44</v>
      </c>
      <c r="C163" s="20" t="s">
        <v>55</v>
      </c>
      <c r="D163" s="20" t="s">
        <v>46</v>
      </c>
      <c r="E163" s="20" t="s">
        <v>56</v>
      </c>
      <c r="F163" s="20">
        <v>52022</v>
      </c>
      <c r="G163" s="20">
        <v>1683</v>
      </c>
      <c r="H163" s="20">
        <v>66</v>
      </c>
      <c r="I163" s="20">
        <v>5316.04</v>
      </c>
      <c r="J163" s="20">
        <v>63261.95</v>
      </c>
      <c r="K163" s="20">
        <v>0</v>
      </c>
      <c r="L163" s="20">
        <v>0</v>
      </c>
      <c r="M163" s="20">
        <v>0</v>
      </c>
      <c r="N163" s="29">
        <f>IF(Table2[[#This Row],[impressions]]=0,0,Table2[[#This Row],[spend_inr]]/Table2[[#This Row],[impressions]]*1000)</f>
        <v>102.18830494790664</v>
      </c>
      <c r="O163" s="31">
        <f>IF(Table2[[#This Row],[impressions]]=0,0,Table2[[#This Row],[clicks]]/Table2[[#This Row],[impressions]])</f>
        <v>3.2351697358809738E-2</v>
      </c>
      <c r="P163" s="32">
        <f>IF(Table2[[#This Row],[clicks]]=0,0,Table2[[#This Row],[spend_inr]]/Table2[[#This Row],[clicks]])</f>
        <v>3.1586690433749256</v>
      </c>
      <c r="Q163" s="31">
        <f>IF(Table2[[#This Row],[clicks]]=0,0,Table2[[#This Row],[conversions]]/Table2[[#This Row],[clicks]])</f>
        <v>3.9215686274509803E-2</v>
      </c>
      <c r="R163" s="30">
        <f>IF(Table2[[#This Row],[spend_inr]]=0,0,(Table2[[#This Row],[revenue_inr]]-Table2[[#This Row],[spend_inr]])/Table2[[#This Row],[spend_inr]])</f>
        <v>10.900202030082543</v>
      </c>
      <c r="S163" s="31">
        <f>IF(Table2[[#This Row],[impressions]]=0,0,(Table2[[#This Row],[likes]]+Table2[[#This Row],[comments]]+Table2[[#This Row],[shares]])/Table2[[#This Row],[impressions]])</f>
        <v>0</v>
      </c>
      <c r="T163" s="27"/>
    </row>
    <row r="164" spans="1:20" ht="15.75">
      <c r="A164" s="23" t="s">
        <v>37</v>
      </c>
      <c r="B164" s="20" t="s">
        <v>44</v>
      </c>
      <c r="C164" s="20" t="s">
        <v>49</v>
      </c>
      <c r="D164" s="20" t="s">
        <v>40</v>
      </c>
      <c r="E164" s="20" t="s">
        <v>65</v>
      </c>
      <c r="F164" s="20">
        <v>34030</v>
      </c>
      <c r="G164" s="20">
        <v>518</v>
      </c>
      <c r="H164" s="20">
        <v>14</v>
      </c>
      <c r="I164" s="20">
        <v>5297.21</v>
      </c>
      <c r="J164" s="20">
        <v>18143.490000000002</v>
      </c>
      <c r="K164" s="20">
        <v>155</v>
      </c>
      <c r="L164" s="20">
        <v>28</v>
      </c>
      <c r="M164" s="20">
        <v>8</v>
      </c>
      <c r="N164" s="29">
        <f>IF(Table2[[#This Row],[impressions]]=0,0,Table2[[#This Row],[spend_inr]]/Table2[[#This Row],[impressions]]*1000)</f>
        <v>155.66294446076992</v>
      </c>
      <c r="O164" s="31">
        <f>IF(Table2[[#This Row],[impressions]]=0,0,Table2[[#This Row],[clicks]]/Table2[[#This Row],[impressions]])</f>
        <v>1.5221863062004114E-2</v>
      </c>
      <c r="P164" s="32">
        <f>IF(Table2[[#This Row],[clicks]]=0,0,Table2[[#This Row],[spend_inr]]/Table2[[#This Row],[clicks]])</f>
        <v>10.226274131274131</v>
      </c>
      <c r="Q164" s="31">
        <f>IF(Table2[[#This Row],[clicks]]=0,0,Table2[[#This Row],[conversions]]/Table2[[#This Row],[clicks]])</f>
        <v>2.7027027027027029E-2</v>
      </c>
      <c r="R164" s="30">
        <f>IF(Table2[[#This Row],[spend_inr]]=0,0,(Table2[[#This Row],[revenue_inr]]-Table2[[#This Row],[spend_inr]])/Table2[[#This Row],[spend_inr]])</f>
        <v>2.4251030259325197</v>
      </c>
      <c r="S164" s="31">
        <f>IF(Table2[[#This Row],[impressions]]=0,0,(Table2[[#This Row],[likes]]+Table2[[#This Row],[comments]]+Table2[[#This Row],[shares]])/Table2[[#This Row],[impressions]])</f>
        <v>5.612694681163679E-3</v>
      </c>
      <c r="T164" s="27"/>
    </row>
    <row r="165" spans="1:20" ht="15.75">
      <c r="A165" s="23" t="s">
        <v>52</v>
      </c>
      <c r="B165" s="20" t="s">
        <v>44</v>
      </c>
      <c r="C165" s="20" t="s">
        <v>39</v>
      </c>
      <c r="D165" s="20" t="s">
        <v>40</v>
      </c>
      <c r="E165" s="20" t="s">
        <v>53</v>
      </c>
      <c r="F165" s="20">
        <v>23841</v>
      </c>
      <c r="G165" s="20">
        <v>790</v>
      </c>
      <c r="H165" s="20">
        <v>26</v>
      </c>
      <c r="I165" s="20">
        <v>5212.3900000000003</v>
      </c>
      <c r="J165" s="20">
        <v>23715.54</v>
      </c>
      <c r="K165" s="20">
        <v>0</v>
      </c>
      <c r="L165" s="20">
        <v>0</v>
      </c>
      <c r="M165" s="20">
        <v>0</v>
      </c>
      <c r="N165" s="29">
        <f>IF(Table2[[#This Row],[impressions]]=0,0,Table2[[#This Row],[spend_inr]]/Table2[[#This Row],[impressions]]*1000)</f>
        <v>218.63134935615119</v>
      </c>
      <c r="O165" s="31">
        <f>IF(Table2[[#This Row],[impressions]]=0,0,Table2[[#This Row],[clicks]]/Table2[[#This Row],[impressions]])</f>
        <v>3.3136193951595991E-2</v>
      </c>
      <c r="P165" s="32">
        <f>IF(Table2[[#This Row],[clicks]]=0,0,Table2[[#This Row],[spend_inr]]/Table2[[#This Row],[clicks]])</f>
        <v>6.5979620253164564</v>
      </c>
      <c r="Q165" s="31">
        <f>IF(Table2[[#This Row],[clicks]]=0,0,Table2[[#This Row],[conversions]]/Table2[[#This Row],[clicks]])</f>
        <v>3.2911392405063293E-2</v>
      </c>
      <c r="R165" s="30">
        <f>IF(Table2[[#This Row],[spend_inr]]=0,0,(Table2[[#This Row],[revenue_inr]]-Table2[[#This Row],[spend_inr]])/Table2[[#This Row],[spend_inr]])</f>
        <v>3.5498399006981445</v>
      </c>
      <c r="S165" s="31">
        <f>IF(Table2[[#This Row],[impressions]]=0,0,(Table2[[#This Row],[likes]]+Table2[[#This Row],[comments]]+Table2[[#This Row],[shares]])/Table2[[#This Row],[impressions]])</f>
        <v>0</v>
      </c>
      <c r="T165" s="27"/>
    </row>
    <row r="166" spans="1:20" ht="15.75">
      <c r="A166" s="23" t="s">
        <v>52</v>
      </c>
      <c r="B166" s="20" t="s">
        <v>38</v>
      </c>
      <c r="C166" s="20" t="s">
        <v>49</v>
      </c>
      <c r="D166" s="20" t="s">
        <v>46</v>
      </c>
      <c r="E166" s="20" t="s">
        <v>53</v>
      </c>
      <c r="F166" s="20">
        <v>16988</v>
      </c>
      <c r="G166" s="20">
        <v>573</v>
      </c>
      <c r="H166" s="20">
        <v>20</v>
      </c>
      <c r="I166" s="20">
        <v>5211.07</v>
      </c>
      <c r="J166" s="20">
        <v>12935.38</v>
      </c>
      <c r="K166" s="20">
        <v>0</v>
      </c>
      <c r="L166" s="20">
        <v>0</v>
      </c>
      <c r="M166" s="20">
        <v>0</v>
      </c>
      <c r="N166" s="29">
        <f>IF(Table2[[#This Row],[impressions]]=0,0,Table2[[#This Row],[spend_inr]]/Table2[[#This Row],[impressions]]*1000)</f>
        <v>306.7500588650812</v>
      </c>
      <c r="O166" s="31">
        <f>IF(Table2[[#This Row],[impressions]]=0,0,Table2[[#This Row],[clicks]]/Table2[[#This Row],[impressions]])</f>
        <v>3.3729691546974333E-2</v>
      </c>
      <c r="P166" s="32">
        <f>IF(Table2[[#This Row],[clicks]]=0,0,Table2[[#This Row],[spend_inr]]/Table2[[#This Row],[clicks]])</f>
        <v>9.0943630017452008</v>
      </c>
      <c r="Q166" s="31">
        <f>IF(Table2[[#This Row],[clicks]]=0,0,Table2[[#This Row],[conversions]]/Table2[[#This Row],[clicks]])</f>
        <v>3.4904013961605584E-2</v>
      </c>
      <c r="R166" s="30">
        <f>IF(Table2[[#This Row],[spend_inr]]=0,0,(Table2[[#This Row],[revenue_inr]]-Table2[[#This Row],[spend_inr]])/Table2[[#This Row],[spend_inr]])</f>
        <v>1.4822886662432091</v>
      </c>
      <c r="S166" s="31">
        <f>IF(Table2[[#This Row],[impressions]]=0,0,(Table2[[#This Row],[likes]]+Table2[[#This Row],[comments]]+Table2[[#This Row],[shares]])/Table2[[#This Row],[impressions]])</f>
        <v>0</v>
      </c>
      <c r="T166" s="27"/>
    </row>
    <row r="167" spans="1:20" ht="15.75">
      <c r="A167" s="23" t="s">
        <v>52</v>
      </c>
      <c r="B167" s="20" t="s">
        <v>43</v>
      </c>
      <c r="C167" s="20" t="s">
        <v>45</v>
      </c>
      <c r="D167" s="20" t="s">
        <v>46</v>
      </c>
      <c r="E167" s="20" t="s">
        <v>56</v>
      </c>
      <c r="F167" s="20">
        <v>0</v>
      </c>
      <c r="G167" s="20">
        <v>1312</v>
      </c>
      <c r="H167" s="20">
        <v>43</v>
      </c>
      <c r="I167" s="20">
        <v>5196.88</v>
      </c>
      <c r="J167" s="20">
        <v>36063.199999999997</v>
      </c>
      <c r="K167" s="20">
        <v>0</v>
      </c>
      <c r="L167" s="20">
        <v>0</v>
      </c>
      <c r="M167" s="20">
        <v>0</v>
      </c>
      <c r="N167" s="29">
        <f>IF(Table2[[#This Row],[impressions]]=0,0,Table2[[#This Row],[spend_inr]]/Table2[[#This Row],[impressions]]*1000)</f>
        <v>0</v>
      </c>
      <c r="O167" s="31">
        <f>IF(Table2[[#This Row],[impressions]]=0,0,Table2[[#This Row],[clicks]]/Table2[[#This Row],[impressions]])</f>
        <v>0</v>
      </c>
      <c r="P167" s="32">
        <f>IF(Table2[[#This Row],[clicks]]=0,0,Table2[[#This Row],[spend_inr]]/Table2[[#This Row],[clicks]])</f>
        <v>3.9610365853658536</v>
      </c>
      <c r="Q167" s="31">
        <f>IF(Table2[[#This Row],[clicks]]=0,0,Table2[[#This Row],[conversions]]/Table2[[#This Row],[clicks]])</f>
        <v>3.277439024390244E-2</v>
      </c>
      <c r="R167" s="30">
        <f>IF(Table2[[#This Row],[spend_inr]]=0,0,(Table2[[#This Row],[revenue_inr]]-Table2[[#This Row],[spend_inr]])/Table2[[#This Row],[spend_inr]])</f>
        <v>5.9393944058742933</v>
      </c>
      <c r="S167" s="31">
        <f>IF(Table2[[#This Row],[impressions]]=0,0,(Table2[[#This Row],[likes]]+Table2[[#This Row],[comments]]+Table2[[#This Row],[shares]])/Table2[[#This Row],[impressions]])</f>
        <v>0</v>
      </c>
      <c r="T167" s="27"/>
    </row>
    <row r="168" spans="1:20" ht="15.75">
      <c r="A168" s="23" t="s">
        <v>37</v>
      </c>
      <c r="B168" s="20" t="s">
        <v>48</v>
      </c>
      <c r="C168" s="20" t="s">
        <v>49</v>
      </c>
      <c r="D168" s="20" t="s">
        <v>40</v>
      </c>
      <c r="E168" s="20" t="s">
        <v>50</v>
      </c>
      <c r="F168" s="20">
        <v>11685</v>
      </c>
      <c r="G168" s="20">
        <v>86</v>
      </c>
      <c r="H168" s="20">
        <v>0</v>
      </c>
      <c r="I168" s="20">
        <v>5139.76</v>
      </c>
      <c r="J168" s="20">
        <v>3422</v>
      </c>
      <c r="K168" s="20">
        <v>26</v>
      </c>
      <c r="L168" s="20">
        <v>4</v>
      </c>
      <c r="M168" s="20">
        <v>2</v>
      </c>
      <c r="N168" s="29">
        <f>IF(Table2[[#This Row],[impressions]]=0,0,Table2[[#This Row],[spend_inr]]/Table2[[#This Row],[impressions]]*1000)</f>
        <v>439.85964912280707</v>
      </c>
      <c r="O168" s="31">
        <f>IF(Table2[[#This Row],[impressions]]=0,0,Table2[[#This Row],[clicks]]/Table2[[#This Row],[impressions]])</f>
        <v>7.3598630723149339E-3</v>
      </c>
      <c r="P168" s="32">
        <f>IF(Table2[[#This Row],[clicks]]=0,0,Table2[[#This Row],[spend_inr]]/Table2[[#This Row],[clicks]])</f>
        <v>59.764651162790699</v>
      </c>
      <c r="Q168" s="31">
        <f>IF(Table2[[#This Row],[clicks]]=0,0,Table2[[#This Row],[conversions]]/Table2[[#This Row],[clicks]])</f>
        <v>0</v>
      </c>
      <c r="R168" s="30">
        <f>IF(Table2[[#This Row],[spend_inr]]=0,0,(Table2[[#This Row],[revenue_inr]]-Table2[[#This Row],[spend_inr]])/Table2[[#This Row],[spend_inr]])</f>
        <v>-0.33421015767273182</v>
      </c>
      <c r="S168" s="31">
        <f>IF(Table2[[#This Row],[impressions]]=0,0,(Table2[[#This Row],[likes]]+Table2[[#This Row],[comments]]+Table2[[#This Row],[shares]])/Table2[[#This Row],[impressions]])</f>
        <v>2.7385537013264868E-3</v>
      </c>
      <c r="T168" s="27"/>
    </row>
    <row r="169" spans="1:20" ht="15.75">
      <c r="A169" s="23" t="s">
        <v>51</v>
      </c>
      <c r="B169" s="20" t="s">
        <v>44</v>
      </c>
      <c r="C169" s="20" t="s">
        <v>39</v>
      </c>
      <c r="D169" s="20" t="s">
        <v>40</v>
      </c>
      <c r="E169" s="20" t="s">
        <v>50</v>
      </c>
      <c r="F169" s="20">
        <v>17262</v>
      </c>
      <c r="G169" s="20">
        <v>89</v>
      </c>
      <c r="H169" s="20">
        <v>0</v>
      </c>
      <c r="I169" s="20">
        <v>5111.9399999999996</v>
      </c>
      <c r="J169" s="20">
        <v>0</v>
      </c>
      <c r="K169" s="20">
        <v>0</v>
      </c>
      <c r="L169" s="20">
        <v>2</v>
      </c>
      <c r="M169" s="20">
        <v>1</v>
      </c>
      <c r="N169" s="29">
        <f>IF(Table2[[#This Row],[impressions]]=0,0,Table2[[#This Row],[spend_inr]]/Table2[[#This Row],[impressions]]*1000)</f>
        <v>296.13833854709765</v>
      </c>
      <c r="O169" s="31">
        <f>IF(Table2[[#This Row],[impressions]]=0,0,Table2[[#This Row],[clicks]]/Table2[[#This Row],[impressions]])</f>
        <v>5.155833622986908E-3</v>
      </c>
      <c r="P169" s="32">
        <f>IF(Table2[[#This Row],[clicks]]=0,0,Table2[[#This Row],[spend_inr]]/Table2[[#This Row],[clicks]])</f>
        <v>57.437528089887635</v>
      </c>
      <c r="Q169" s="31">
        <f>IF(Table2[[#This Row],[clicks]]=0,0,Table2[[#This Row],[conversions]]/Table2[[#This Row],[clicks]])</f>
        <v>0</v>
      </c>
      <c r="R169" s="30">
        <f>IF(Table2[[#This Row],[spend_inr]]=0,0,(Table2[[#This Row],[revenue_inr]]-Table2[[#This Row],[spend_inr]])/Table2[[#This Row],[spend_inr]])</f>
        <v>-1</v>
      </c>
      <c r="S169" s="31">
        <f>IF(Table2[[#This Row],[impressions]]=0,0,(Table2[[#This Row],[likes]]+Table2[[#This Row],[comments]]+Table2[[#This Row],[shares]])/Table2[[#This Row],[impressions]])</f>
        <v>1.7379214459506431E-4</v>
      </c>
      <c r="T169" s="27"/>
    </row>
    <row r="170" spans="1:20" ht="15.75">
      <c r="A170" s="23" t="s">
        <v>37</v>
      </c>
      <c r="B170" s="20" t="s">
        <v>38</v>
      </c>
      <c r="C170" s="20" t="s">
        <v>39</v>
      </c>
      <c r="D170" s="20" t="s">
        <v>40</v>
      </c>
      <c r="E170" s="20" t="s">
        <v>41</v>
      </c>
      <c r="F170" s="20">
        <v>69366</v>
      </c>
      <c r="G170" s="20">
        <v>565</v>
      </c>
      <c r="H170" s="20">
        <v>8</v>
      </c>
      <c r="I170" s="20">
        <v>5108.55</v>
      </c>
      <c r="J170" s="20">
        <v>5712.4</v>
      </c>
      <c r="K170" s="20">
        <v>211</v>
      </c>
      <c r="L170" s="20">
        <v>14</v>
      </c>
      <c r="M170" s="20">
        <v>17</v>
      </c>
      <c r="N170" s="29">
        <f>IF(Table2[[#This Row],[impressions]]=0,0,Table2[[#This Row],[spend_inr]]/Table2[[#This Row],[impressions]]*1000)</f>
        <v>73.646310872761873</v>
      </c>
      <c r="O170" s="31">
        <f>IF(Table2[[#This Row],[impressions]]=0,0,Table2[[#This Row],[clicks]]/Table2[[#This Row],[impressions]])</f>
        <v>8.1452008188449675E-3</v>
      </c>
      <c r="P170" s="32">
        <f>IF(Table2[[#This Row],[clicks]]=0,0,Table2[[#This Row],[spend_inr]]/Table2[[#This Row],[clicks]])</f>
        <v>9.0416814159292045</v>
      </c>
      <c r="Q170" s="31">
        <f>IF(Table2[[#This Row],[clicks]]=0,0,Table2[[#This Row],[conversions]]/Table2[[#This Row],[clicks]])</f>
        <v>1.415929203539823E-2</v>
      </c>
      <c r="R170" s="30">
        <f>IF(Table2[[#This Row],[spend_inr]]=0,0,(Table2[[#This Row],[revenue_inr]]-Table2[[#This Row],[spend_inr]])/Table2[[#This Row],[spend_inr]])</f>
        <v>0.1182037955975765</v>
      </c>
      <c r="S170" s="31">
        <f>IF(Table2[[#This Row],[impressions]]=0,0,(Table2[[#This Row],[likes]]+Table2[[#This Row],[comments]]+Table2[[#This Row],[shares]])/Table2[[#This Row],[impressions]])</f>
        <v>3.4887408816999684E-3</v>
      </c>
      <c r="T170" s="27"/>
    </row>
    <row r="171" spans="1:20" ht="15.75">
      <c r="A171" s="23" t="s">
        <v>52</v>
      </c>
      <c r="B171" s="20" t="s">
        <v>43</v>
      </c>
      <c r="C171" s="20" t="s">
        <v>49</v>
      </c>
      <c r="D171" s="20" t="s">
        <v>46</v>
      </c>
      <c r="E171" s="20" t="s">
        <v>53</v>
      </c>
      <c r="F171" s="20">
        <v>77582</v>
      </c>
      <c r="G171" s="20">
        <v>3179</v>
      </c>
      <c r="H171" s="20">
        <v>88</v>
      </c>
      <c r="I171" s="20">
        <v>5059.8599999999997</v>
      </c>
      <c r="J171" s="20">
        <v>76768.429999999993</v>
      </c>
      <c r="K171" s="20">
        <v>0</v>
      </c>
      <c r="L171" s="20">
        <v>0</v>
      </c>
      <c r="M171" s="20">
        <v>0</v>
      </c>
      <c r="N171" s="29">
        <f>IF(Table2[[#This Row],[impressions]]=0,0,Table2[[#This Row],[spend_inr]]/Table2[[#This Row],[impressions]]*1000)</f>
        <v>65.219509680080435</v>
      </c>
      <c r="O171" s="31">
        <f>IF(Table2[[#This Row],[impressions]]=0,0,Table2[[#This Row],[clicks]]/Table2[[#This Row],[impressions]])</f>
        <v>4.0975999587533188E-2</v>
      </c>
      <c r="P171" s="32">
        <f>IF(Table2[[#This Row],[clicks]]=0,0,Table2[[#This Row],[spend_inr]]/Table2[[#This Row],[clicks]])</f>
        <v>1.5916514627241269</v>
      </c>
      <c r="Q171" s="31">
        <f>IF(Table2[[#This Row],[clicks]]=0,0,Table2[[#This Row],[conversions]]/Table2[[#This Row],[clicks]])</f>
        <v>2.768166089965398E-2</v>
      </c>
      <c r="R171" s="30">
        <f>IF(Table2[[#This Row],[spend_inr]]=0,0,(Table2[[#This Row],[revenue_inr]]-Table2[[#This Row],[spend_inr]])/Table2[[#This Row],[spend_inr]])</f>
        <v>14.172046262149545</v>
      </c>
      <c r="S171" s="31">
        <f>IF(Table2[[#This Row],[impressions]]=0,0,(Table2[[#This Row],[likes]]+Table2[[#This Row],[comments]]+Table2[[#This Row],[shares]])/Table2[[#This Row],[impressions]])</f>
        <v>0</v>
      </c>
      <c r="T171" s="27"/>
    </row>
    <row r="172" spans="1:20" ht="15.75">
      <c r="A172" s="23" t="s">
        <v>37</v>
      </c>
      <c r="B172" s="20" t="s">
        <v>38</v>
      </c>
      <c r="C172" s="20" t="s">
        <v>45</v>
      </c>
      <c r="D172" s="20" t="s">
        <v>46</v>
      </c>
      <c r="E172" s="20" t="s">
        <v>41</v>
      </c>
      <c r="F172" s="20">
        <v>14364</v>
      </c>
      <c r="G172" s="20">
        <v>0</v>
      </c>
      <c r="H172" s="20">
        <v>4</v>
      </c>
      <c r="I172" s="20">
        <v>5050.9399999999996</v>
      </c>
      <c r="J172" s="20">
        <v>5277.65</v>
      </c>
      <c r="K172" s="20">
        <v>79</v>
      </c>
      <c r="L172" s="20">
        <v>4</v>
      </c>
      <c r="M172" s="20">
        <v>3</v>
      </c>
      <c r="N172" s="29">
        <f>IF(Table2[[#This Row],[impressions]]=0,0,Table2[[#This Row],[spend_inr]]/Table2[[#This Row],[impressions]]*1000)</f>
        <v>351.63881927039819</v>
      </c>
      <c r="O172" s="31">
        <f>IF(Table2[[#This Row],[impressions]]=0,0,Table2[[#This Row],[clicks]]/Table2[[#This Row],[impressions]])</f>
        <v>0</v>
      </c>
      <c r="P172" s="32">
        <f>IF(Table2[[#This Row],[clicks]]=0,0,Table2[[#This Row],[spend_inr]]/Table2[[#This Row],[clicks]])</f>
        <v>0</v>
      </c>
      <c r="Q172" s="31">
        <f>IF(Table2[[#This Row],[clicks]]=0,0,Table2[[#This Row],[conversions]]/Table2[[#This Row],[clicks]])</f>
        <v>0</v>
      </c>
      <c r="R172" s="30">
        <f>IF(Table2[[#This Row],[spend_inr]]=0,0,(Table2[[#This Row],[revenue_inr]]-Table2[[#This Row],[spend_inr]])/Table2[[#This Row],[spend_inr]])</f>
        <v>4.4884714528384828E-2</v>
      </c>
      <c r="S172" s="31">
        <f>IF(Table2[[#This Row],[impressions]]=0,0,(Table2[[#This Row],[likes]]+Table2[[#This Row],[comments]]+Table2[[#This Row],[shares]])/Table2[[#This Row],[impressions]])</f>
        <v>5.9871901977165132E-3</v>
      </c>
      <c r="T172" s="27"/>
    </row>
    <row r="173" spans="1:20" ht="15.75">
      <c r="A173" s="23" t="s">
        <v>51</v>
      </c>
      <c r="B173" s="20" t="s">
        <v>44</v>
      </c>
      <c r="C173" s="20" t="s">
        <v>54</v>
      </c>
      <c r="D173" s="20" t="s">
        <v>46</v>
      </c>
      <c r="E173" s="20" t="s">
        <v>50</v>
      </c>
      <c r="F173" s="20">
        <v>56767</v>
      </c>
      <c r="G173" s="20">
        <v>943</v>
      </c>
      <c r="H173" s="20">
        <v>14</v>
      </c>
      <c r="I173" s="20">
        <v>5047.3599999999997</v>
      </c>
      <c r="J173" s="20">
        <v>8477.67</v>
      </c>
      <c r="K173" s="20">
        <v>324</v>
      </c>
      <c r="L173" s="20">
        <v>46</v>
      </c>
      <c r="M173" s="20">
        <v>29</v>
      </c>
      <c r="N173" s="29">
        <f>IF(Table2[[#This Row],[impressions]]=0,0,Table2[[#This Row],[spend_inr]]/Table2[[#This Row],[impressions]]*1000)</f>
        <v>88.913629397361134</v>
      </c>
      <c r="O173" s="31">
        <f>IF(Table2[[#This Row],[impressions]]=0,0,Table2[[#This Row],[clicks]]/Table2[[#This Row],[impressions]])</f>
        <v>1.6611763876900311E-2</v>
      </c>
      <c r="P173" s="32">
        <f>IF(Table2[[#This Row],[clicks]]=0,0,Table2[[#This Row],[spend_inr]]/Table2[[#This Row],[clicks]])</f>
        <v>5.3524496288441146</v>
      </c>
      <c r="Q173" s="31">
        <f>IF(Table2[[#This Row],[clicks]]=0,0,Table2[[#This Row],[conversions]]/Table2[[#This Row],[clicks]])</f>
        <v>1.4846235418875928E-2</v>
      </c>
      <c r="R173" s="30">
        <f>IF(Table2[[#This Row],[spend_inr]]=0,0,(Table2[[#This Row],[revenue_inr]]-Table2[[#This Row],[spend_inr]])/Table2[[#This Row],[spend_inr]])</f>
        <v>0.67962459582831436</v>
      </c>
      <c r="S173" s="31">
        <f>IF(Table2[[#This Row],[impressions]]=0,0,(Table2[[#This Row],[likes]]+Table2[[#This Row],[comments]]+Table2[[#This Row],[shares]])/Table2[[#This Row],[impressions]])</f>
        <v>7.0287314813183713E-3</v>
      </c>
      <c r="T173" s="27"/>
    </row>
    <row r="174" spans="1:20" ht="15.75">
      <c r="A174" s="23" t="s">
        <v>52</v>
      </c>
      <c r="B174" s="20" t="s">
        <v>38</v>
      </c>
      <c r="C174" s="20" t="s">
        <v>45</v>
      </c>
      <c r="D174" s="20" t="s">
        <v>46</v>
      </c>
      <c r="E174" s="20" t="s">
        <v>53</v>
      </c>
      <c r="F174" s="20">
        <v>11061</v>
      </c>
      <c r="G174" s="20">
        <v>302</v>
      </c>
      <c r="H174" s="20">
        <v>0</v>
      </c>
      <c r="I174" s="20">
        <v>5039.67</v>
      </c>
      <c r="J174" s="20">
        <v>4980.05</v>
      </c>
      <c r="K174" s="20">
        <v>0</v>
      </c>
      <c r="L174" s="20">
        <v>0</v>
      </c>
      <c r="M174" s="20">
        <v>0</v>
      </c>
      <c r="N174" s="29">
        <f>IF(Table2[[#This Row],[impressions]]=0,0,Table2[[#This Row],[spend_inr]]/Table2[[#This Row],[impressions]]*1000)</f>
        <v>455.62516951451045</v>
      </c>
      <c r="O174" s="31">
        <f>IF(Table2[[#This Row],[impressions]]=0,0,Table2[[#This Row],[clicks]]/Table2[[#This Row],[impressions]])</f>
        <v>2.7303137148539915E-2</v>
      </c>
      <c r="P174" s="32">
        <f>IF(Table2[[#This Row],[clicks]]=0,0,Table2[[#This Row],[spend_inr]]/Table2[[#This Row],[clicks]])</f>
        <v>16.687649006622518</v>
      </c>
      <c r="Q174" s="31">
        <f>IF(Table2[[#This Row],[clicks]]=0,0,Table2[[#This Row],[conversions]]/Table2[[#This Row],[clicks]])</f>
        <v>0</v>
      </c>
      <c r="R174" s="30">
        <f>IF(Table2[[#This Row],[spend_inr]]=0,0,(Table2[[#This Row],[revenue_inr]]-Table2[[#This Row],[spend_inr]])/Table2[[#This Row],[spend_inr]])</f>
        <v>-1.183013967184357E-2</v>
      </c>
      <c r="S174" s="31">
        <f>IF(Table2[[#This Row],[impressions]]=0,0,(Table2[[#This Row],[likes]]+Table2[[#This Row],[comments]]+Table2[[#This Row],[shares]])/Table2[[#This Row],[impressions]])</f>
        <v>0</v>
      </c>
      <c r="T174" s="27"/>
    </row>
    <row r="175" spans="1:20" ht="15.75">
      <c r="A175" s="23" t="s">
        <v>37</v>
      </c>
      <c r="B175" s="20" t="s">
        <v>44</v>
      </c>
      <c r="C175" s="20" t="s">
        <v>49</v>
      </c>
      <c r="D175" s="20" t="s">
        <v>46</v>
      </c>
      <c r="E175" s="20" t="s">
        <v>50</v>
      </c>
      <c r="F175" s="20">
        <v>62136</v>
      </c>
      <c r="G175" s="20">
        <v>1209</v>
      </c>
      <c r="H175" s="20">
        <v>35</v>
      </c>
      <c r="I175" s="20">
        <v>4996.68</v>
      </c>
      <c r="J175" s="20">
        <v>46374.65</v>
      </c>
      <c r="K175" s="20">
        <v>499</v>
      </c>
      <c r="L175" s="20">
        <v>34</v>
      </c>
      <c r="M175" s="20">
        <v>23</v>
      </c>
      <c r="N175" s="29">
        <f>IF(Table2[[#This Row],[impressions]]=0,0,Table2[[#This Row],[spend_inr]]/Table2[[#This Row],[impressions]]*1000)</f>
        <v>80.415218230977217</v>
      </c>
      <c r="O175" s="31">
        <f>IF(Table2[[#This Row],[impressions]]=0,0,Table2[[#This Row],[clicks]]/Table2[[#This Row],[impressions]])</f>
        <v>1.9457319428350713E-2</v>
      </c>
      <c r="P175" s="32">
        <f>IF(Table2[[#This Row],[clicks]]=0,0,Table2[[#This Row],[spend_inr]]/Table2[[#This Row],[clicks]])</f>
        <v>4.1329032258064515</v>
      </c>
      <c r="Q175" s="31">
        <f>IF(Table2[[#This Row],[clicks]]=0,0,Table2[[#This Row],[conversions]]/Table2[[#This Row],[clicks]])</f>
        <v>2.8949545078577336E-2</v>
      </c>
      <c r="R175" s="30">
        <f>IF(Table2[[#This Row],[spend_inr]]=0,0,(Table2[[#This Row],[revenue_inr]]-Table2[[#This Row],[spend_inr]])/Table2[[#This Row],[spend_inr]])</f>
        <v>8.2810926455166225</v>
      </c>
      <c r="S175" s="31">
        <f>IF(Table2[[#This Row],[impressions]]=0,0,(Table2[[#This Row],[likes]]+Table2[[#This Row],[comments]]+Table2[[#This Row],[shares]])/Table2[[#This Row],[impressions]])</f>
        <v>8.9481138148577322E-3</v>
      </c>
      <c r="T175" s="27"/>
    </row>
    <row r="176" spans="1:20" ht="15.75">
      <c r="A176" s="24" t="s">
        <v>42</v>
      </c>
      <c r="B176" s="21" t="s">
        <v>48</v>
      </c>
      <c r="C176" s="21" t="s">
        <v>49</v>
      </c>
      <c r="D176" s="21" t="s">
        <v>40</v>
      </c>
      <c r="E176" s="21" t="s">
        <v>47</v>
      </c>
      <c r="F176" s="21">
        <v>77887</v>
      </c>
      <c r="G176" s="21">
        <v>827</v>
      </c>
      <c r="H176" s="21">
        <v>0</v>
      </c>
      <c r="I176" s="21">
        <v>4926.2299999999996</v>
      </c>
      <c r="J176" s="21">
        <v>30335.79</v>
      </c>
      <c r="K176" s="21">
        <v>368</v>
      </c>
      <c r="L176" s="21">
        <v>37</v>
      </c>
      <c r="M176" s="21">
        <v>28</v>
      </c>
      <c r="N176" s="29">
        <f>IF(Table2[[#This Row],[impressions]]=0,0,Table2[[#This Row],[spend_inr]]/Table2[[#This Row],[impressions]]*1000)</f>
        <v>63.248423998870152</v>
      </c>
      <c r="O176" s="31">
        <f>IF(Table2[[#This Row],[impressions]]=0,0,Table2[[#This Row],[clicks]]/Table2[[#This Row],[impressions]])</f>
        <v>1.0617946512254934E-2</v>
      </c>
      <c r="P176" s="32">
        <f>IF(Table2[[#This Row],[clicks]]=0,0,Table2[[#This Row],[spend_inr]]/Table2[[#This Row],[clicks]])</f>
        <v>5.9567472793228529</v>
      </c>
      <c r="Q176" s="31">
        <f>IF(Table2[[#This Row],[clicks]]=0,0,Table2[[#This Row],[conversions]]/Table2[[#This Row],[clicks]])</f>
        <v>0</v>
      </c>
      <c r="R176" s="30">
        <f>IF(Table2[[#This Row],[spend_inr]]=0,0,(Table2[[#This Row],[revenue_inr]]-Table2[[#This Row],[spend_inr]])/Table2[[#This Row],[spend_inr]])</f>
        <v>5.1580133286509167</v>
      </c>
      <c r="S176" s="31">
        <f>IF(Table2[[#This Row],[impressions]]=0,0,(Table2[[#This Row],[likes]]+Table2[[#This Row],[comments]]+Table2[[#This Row],[shares]])/Table2[[#This Row],[impressions]])</f>
        <v>5.5593359610718093E-3</v>
      </c>
      <c r="T176" s="27"/>
    </row>
    <row r="177" spans="1:20" ht="15.75">
      <c r="A177" s="23" t="s">
        <v>37</v>
      </c>
      <c r="B177" s="20" t="s">
        <v>48</v>
      </c>
      <c r="C177" s="20" t="s">
        <v>55</v>
      </c>
      <c r="D177" s="20" t="s">
        <v>40</v>
      </c>
      <c r="E177" s="20" t="s">
        <v>50</v>
      </c>
      <c r="F177" s="20">
        <v>48257</v>
      </c>
      <c r="G177" s="20">
        <v>756</v>
      </c>
      <c r="H177" s="20">
        <v>24</v>
      </c>
      <c r="I177" s="20">
        <v>4888.62</v>
      </c>
      <c r="J177" s="20">
        <v>25324.16</v>
      </c>
      <c r="K177" s="20">
        <v>293</v>
      </c>
      <c r="L177" s="20">
        <v>42</v>
      </c>
      <c r="M177" s="20">
        <v>18</v>
      </c>
      <c r="N177" s="29">
        <f>IF(Table2[[#This Row],[impressions]]=0,0,Table2[[#This Row],[spend_inr]]/Table2[[#This Row],[impressions]]*1000)</f>
        <v>101.30385229085935</v>
      </c>
      <c r="O177" s="31">
        <f>IF(Table2[[#This Row],[impressions]]=0,0,Table2[[#This Row],[clicks]]/Table2[[#This Row],[impressions]])</f>
        <v>1.5666120977267547E-2</v>
      </c>
      <c r="P177" s="32">
        <f>IF(Table2[[#This Row],[clicks]]=0,0,Table2[[#This Row],[spend_inr]]/Table2[[#This Row],[clicks]])</f>
        <v>6.4664285714285716</v>
      </c>
      <c r="Q177" s="31">
        <f>IF(Table2[[#This Row],[clicks]]=0,0,Table2[[#This Row],[conversions]]/Table2[[#This Row],[clicks]])</f>
        <v>3.1746031746031744E-2</v>
      </c>
      <c r="R177" s="30">
        <f>IF(Table2[[#This Row],[spend_inr]]=0,0,(Table2[[#This Row],[revenue_inr]]-Table2[[#This Row],[spend_inr]])/Table2[[#This Row],[spend_inr]])</f>
        <v>4.180226730652004</v>
      </c>
      <c r="S177" s="31">
        <f>IF(Table2[[#This Row],[impressions]]=0,0,(Table2[[#This Row],[likes]]+Table2[[#This Row],[comments]]+Table2[[#This Row],[shares]])/Table2[[#This Row],[impressions]])</f>
        <v>7.3150009325072011E-3</v>
      </c>
      <c r="T177" s="27"/>
    </row>
    <row r="178" spans="1:20" ht="15.75">
      <c r="A178" s="24" t="s">
        <v>51</v>
      </c>
      <c r="B178" s="21" t="s">
        <v>48</v>
      </c>
      <c r="C178" s="21" t="s">
        <v>54</v>
      </c>
      <c r="D178" s="21" t="s">
        <v>40</v>
      </c>
      <c r="E178" s="21" t="s">
        <v>50</v>
      </c>
      <c r="F178" s="21">
        <v>67887</v>
      </c>
      <c r="G178" s="21">
        <v>871</v>
      </c>
      <c r="H178" s="21">
        <v>10</v>
      </c>
      <c r="I178" s="21">
        <v>4824.29</v>
      </c>
      <c r="J178" s="21">
        <v>8557.7199999999993</v>
      </c>
      <c r="K178" s="21">
        <v>399</v>
      </c>
      <c r="L178" s="21">
        <v>46</v>
      </c>
      <c r="M178" s="21">
        <v>22</v>
      </c>
      <c r="N178" s="29">
        <f>IF(Table2[[#This Row],[impressions]]=0,0,Table2[[#This Row],[spend_inr]]/Table2[[#This Row],[impressions]]*1000)</f>
        <v>71.063532045899805</v>
      </c>
      <c r="O178" s="31">
        <f>IF(Table2[[#This Row],[impressions]]=0,0,Table2[[#This Row],[clicks]]/Table2[[#This Row],[impressions]])</f>
        <v>1.2830144210231709E-2</v>
      </c>
      <c r="P178" s="32">
        <f>IF(Table2[[#This Row],[clicks]]=0,0,Table2[[#This Row],[spend_inr]]/Table2[[#This Row],[clicks]])</f>
        <v>5.5387944890929965</v>
      </c>
      <c r="Q178" s="31">
        <f>IF(Table2[[#This Row],[clicks]]=0,0,Table2[[#This Row],[conversions]]/Table2[[#This Row],[clicks]])</f>
        <v>1.1481056257175661E-2</v>
      </c>
      <c r="R178" s="30">
        <f>IF(Table2[[#This Row],[spend_inr]]=0,0,(Table2[[#This Row],[revenue_inr]]-Table2[[#This Row],[spend_inr]])/Table2[[#This Row],[spend_inr]])</f>
        <v>0.77388175254804326</v>
      </c>
      <c r="S178" s="31">
        <f>IF(Table2[[#This Row],[impressions]]=0,0,(Table2[[#This Row],[likes]]+Table2[[#This Row],[comments]]+Table2[[#This Row],[shares]])/Table2[[#This Row],[impressions]])</f>
        <v>6.8790784686316971E-3</v>
      </c>
      <c r="T178" s="27"/>
    </row>
    <row r="179" spans="1:20" ht="15.75">
      <c r="A179" s="23" t="s">
        <v>42</v>
      </c>
      <c r="B179" s="20" t="s">
        <v>48</v>
      </c>
      <c r="C179" s="20" t="s">
        <v>55</v>
      </c>
      <c r="D179" s="20" t="s">
        <v>40</v>
      </c>
      <c r="E179" s="20" t="s">
        <v>41</v>
      </c>
      <c r="F179" s="20">
        <v>32086</v>
      </c>
      <c r="G179" s="20">
        <v>253</v>
      </c>
      <c r="H179" s="20">
        <v>7</v>
      </c>
      <c r="I179" s="20">
        <v>4775.09</v>
      </c>
      <c r="J179" s="20">
        <v>4794.07</v>
      </c>
      <c r="K179" s="20">
        <v>118</v>
      </c>
      <c r="L179" s="20">
        <v>10</v>
      </c>
      <c r="M179" s="20">
        <v>2</v>
      </c>
      <c r="N179" s="29">
        <f>IF(Table2[[#This Row],[impressions]]=0,0,Table2[[#This Row],[spend_inr]]/Table2[[#This Row],[impressions]]*1000)</f>
        <v>148.82160443807268</v>
      </c>
      <c r="O179" s="31">
        <f>IF(Table2[[#This Row],[impressions]]=0,0,Table2[[#This Row],[clicks]]/Table2[[#This Row],[impressions]])</f>
        <v>7.8850589041949762E-3</v>
      </c>
      <c r="P179" s="32">
        <f>IF(Table2[[#This Row],[clicks]]=0,0,Table2[[#This Row],[spend_inr]]/Table2[[#This Row],[clicks]])</f>
        <v>18.873873517786564</v>
      </c>
      <c r="Q179" s="31">
        <f>IF(Table2[[#This Row],[clicks]]=0,0,Table2[[#This Row],[conversions]]/Table2[[#This Row],[clicks]])</f>
        <v>2.766798418972332E-2</v>
      </c>
      <c r="R179" s="30">
        <f>IF(Table2[[#This Row],[spend_inr]]=0,0,(Table2[[#This Row],[revenue_inr]]-Table2[[#This Row],[spend_inr]])/Table2[[#This Row],[spend_inr]])</f>
        <v>3.9747941923606806E-3</v>
      </c>
      <c r="S179" s="31">
        <f>IF(Table2[[#This Row],[impressions]]=0,0,(Table2[[#This Row],[likes]]+Table2[[#This Row],[comments]]+Table2[[#This Row],[shares]])/Table2[[#This Row],[impressions]])</f>
        <v>4.0516112946456396E-3</v>
      </c>
      <c r="T179" s="27"/>
    </row>
    <row r="180" spans="1:20" ht="15.75">
      <c r="A180" s="23" t="s">
        <v>51</v>
      </c>
      <c r="B180" s="20" t="s">
        <v>44</v>
      </c>
      <c r="C180" s="20" t="s">
        <v>55</v>
      </c>
      <c r="D180" s="20" t="s">
        <v>46</v>
      </c>
      <c r="E180" s="20" t="s">
        <v>50</v>
      </c>
      <c r="F180" s="20">
        <v>62039</v>
      </c>
      <c r="G180" s="20">
        <v>433</v>
      </c>
      <c r="H180" s="20">
        <v>7</v>
      </c>
      <c r="I180" s="20">
        <v>4772.82</v>
      </c>
      <c r="J180" s="20">
        <v>4108.79</v>
      </c>
      <c r="K180" s="20">
        <v>197</v>
      </c>
      <c r="L180" s="20">
        <v>13</v>
      </c>
      <c r="M180" s="20">
        <v>11</v>
      </c>
      <c r="N180" s="29">
        <f>IF(Table2[[#This Row],[impressions]]=0,0,Table2[[#This Row],[spend_inr]]/Table2[[#This Row],[impressions]]*1000)</f>
        <v>76.932574670771615</v>
      </c>
      <c r="O180" s="31">
        <f>IF(Table2[[#This Row],[impressions]]=0,0,Table2[[#This Row],[clicks]]/Table2[[#This Row],[impressions]])</f>
        <v>6.9794806492690081E-3</v>
      </c>
      <c r="P180" s="32">
        <f>IF(Table2[[#This Row],[clicks]]=0,0,Table2[[#This Row],[spend_inr]]/Table2[[#This Row],[clicks]])</f>
        <v>11.022678983833718</v>
      </c>
      <c r="Q180" s="31">
        <f>IF(Table2[[#This Row],[clicks]]=0,0,Table2[[#This Row],[conversions]]/Table2[[#This Row],[clicks]])</f>
        <v>1.6166281755196306E-2</v>
      </c>
      <c r="R180" s="30">
        <f>IF(Table2[[#This Row],[spend_inr]]=0,0,(Table2[[#This Row],[revenue_inr]]-Table2[[#This Row],[spend_inr]])/Table2[[#This Row],[spend_inr]])</f>
        <v>-0.13912739219161832</v>
      </c>
      <c r="S180" s="31">
        <f>IF(Table2[[#This Row],[impressions]]=0,0,(Table2[[#This Row],[likes]]+Table2[[#This Row],[comments]]+Table2[[#This Row],[shares]])/Table2[[#This Row],[impressions]])</f>
        <v>3.5622753429294476E-3</v>
      </c>
      <c r="T180" s="27"/>
    </row>
    <row r="181" spans="1:20" ht="15.75">
      <c r="A181" s="23" t="s">
        <v>37</v>
      </c>
      <c r="B181" s="20" t="s">
        <v>43</v>
      </c>
      <c r="C181" s="20" t="s">
        <v>54</v>
      </c>
      <c r="D181" s="20" t="s">
        <v>46</v>
      </c>
      <c r="E181" s="20" t="s">
        <v>50</v>
      </c>
      <c r="F181" s="20">
        <v>44981</v>
      </c>
      <c r="G181" s="20">
        <v>425</v>
      </c>
      <c r="H181" s="20">
        <v>9</v>
      </c>
      <c r="I181" s="20">
        <v>4767.83</v>
      </c>
      <c r="J181" s="20">
        <v>11351.15</v>
      </c>
      <c r="K181" s="20">
        <v>186</v>
      </c>
      <c r="L181" s="20">
        <v>18</v>
      </c>
      <c r="M181" s="20">
        <v>16</v>
      </c>
      <c r="N181" s="29">
        <f>IF(Table2[[#This Row],[impressions]]=0,0,Table2[[#This Row],[spend_inr]]/Table2[[#This Row],[impressions]]*1000)</f>
        <v>105.99653186901135</v>
      </c>
      <c r="O181" s="31">
        <f>IF(Table2[[#This Row],[impressions]]=0,0,Table2[[#This Row],[clicks]]/Table2[[#This Row],[impressions]])</f>
        <v>9.4484337831528872E-3</v>
      </c>
      <c r="P181" s="32">
        <f>IF(Table2[[#This Row],[clicks]]=0,0,Table2[[#This Row],[spend_inr]]/Table2[[#This Row],[clicks]])</f>
        <v>11.218423529411764</v>
      </c>
      <c r="Q181" s="31">
        <f>IF(Table2[[#This Row],[clicks]]=0,0,Table2[[#This Row],[conversions]]/Table2[[#This Row],[clicks]])</f>
        <v>2.1176470588235293E-2</v>
      </c>
      <c r="R181" s="30">
        <f>IF(Table2[[#This Row],[spend_inr]]=0,0,(Table2[[#This Row],[revenue_inr]]-Table2[[#This Row],[spend_inr]])/Table2[[#This Row],[spend_inr]])</f>
        <v>1.3807790965701376</v>
      </c>
      <c r="S181" s="31">
        <f>IF(Table2[[#This Row],[impressions]]=0,0,(Table2[[#This Row],[likes]]+Table2[[#This Row],[comments]]+Table2[[#This Row],[shares]])/Table2[[#This Row],[impressions]])</f>
        <v>4.8909539583379645E-3</v>
      </c>
      <c r="T181" s="27"/>
    </row>
    <row r="182" spans="1:20" ht="15.75">
      <c r="A182" s="23" t="s">
        <v>51</v>
      </c>
      <c r="B182" s="20" t="s">
        <v>48</v>
      </c>
      <c r="C182" s="20" t="s">
        <v>39</v>
      </c>
      <c r="D182" s="20" t="s">
        <v>40</v>
      </c>
      <c r="E182" s="20" t="s">
        <v>50</v>
      </c>
      <c r="F182" s="20">
        <v>63077</v>
      </c>
      <c r="G182" s="20">
        <v>322</v>
      </c>
      <c r="H182" s="20">
        <v>3</v>
      </c>
      <c r="I182" s="20">
        <v>4673.22</v>
      </c>
      <c r="J182" s="20">
        <v>2061.96</v>
      </c>
      <c r="K182" s="20">
        <v>123</v>
      </c>
      <c r="L182" s="20">
        <v>15</v>
      </c>
      <c r="M182" s="20">
        <v>12</v>
      </c>
      <c r="N182" s="29">
        <f>IF(Table2[[#This Row],[impressions]]=0,0,Table2[[#This Row],[spend_inr]]/Table2[[#This Row],[impressions]]*1000)</f>
        <v>74.0875437956783</v>
      </c>
      <c r="O182" s="31">
        <f>IF(Table2[[#This Row],[impressions]]=0,0,Table2[[#This Row],[clicks]]/Table2[[#This Row],[impressions]])</f>
        <v>5.104871823327045E-3</v>
      </c>
      <c r="P182" s="32">
        <f>IF(Table2[[#This Row],[clicks]]=0,0,Table2[[#This Row],[spend_inr]]/Table2[[#This Row],[clicks]])</f>
        <v>14.513105590062112</v>
      </c>
      <c r="Q182" s="31">
        <f>IF(Table2[[#This Row],[clicks]]=0,0,Table2[[#This Row],[conversions]]/Table2[[#This Row],[clicks]])</f>
        <v>9.316770186335404E-3</v>
      </c>
      <c r="R182" s="30">
        <f>IF(Table2[[#This Row],[spend_inr]]=0,0,(Table2[[#This Row],[revenue_inr]]-Table2[[#This Row],[spend_inr]])/Table2[[#This Row],[spend_inr]])</f>
        <v>-0.5587710400965501</v>
      </c>
      <c r="S182" s="31">
        <f>IF(Table2[[#This Row],[impressions]]=0,0,(Table2[[#This Row],[likes]]+Table2[[#This Row],[comments]]+Table2[[#This Row],[shares]])/Table2[[#This Row],[impressions]])</f>
        <v>2.3780458804318529E-3</v>
      </c>
      <c r="T182" s="27"/>
    </row>
    <row r="183" spans="1:20" ht="15.75">
      <c r="A183" s="23" t="s">
        <v>51</v>
      </c>
      <c r="B183" s="20" t="s">
        <v>38</v>
      </c>
      <c r="C183" s="20" t="s">
        <v>55</v>
      </c>
      <c r="D183" s="20" t="s">
        <v>40</v>
      </c>
      <c r="E183" s="20" t="s">
        <v>50</v>
      </c>
      <c r="F183" s="20">
        <v>0</v>
      </c>
      <c r="G183" s="20">
        <v>789</v>
      </c>
      <c r="H183" s="20">
        <v>15</v>
      </c>
      <c r="I183" s="20">
        <v>4667.92</v>
      </c>
      <c r="J183" s="20">
        <v>13107.88</v>
      </c>
      <c r="K183" s="20">
        <v>242</v>
      </c>
      <c r="L183" s="20">
        <v>23</v>
      </c>
      <c r="M183" s="20">
        <v>28</v>
      </c>
      <c r="N183" s="29">
        <f>IF(Table2[[#This Row],[impressions]]=0,0,Table2[[#This Row],[spend_inr]]/Table2[[#This Row],[impressions]]*1000)</f>
        <v>0</v>
      </c>
      <c r="O183" s="31">
        <f>IF(Table2[[#This Row],[impressions]]=0,0,Table2[[#This Row],[clicks]]/Table2[[#This Row],[impressions]])</f>
        <v>0</v>
      </c>
      <c r="P183" s="32">
        <f>IF(Table2[[#This Row],[clicks]]=0,0,Table2[[#This Row],[spend_inr]]/Table2[[#This Row],[clicks]])</f>
        <v>5.9162484157160966</v>
      </c>
      <c r="Q183" s="31">
        <f>IF(Table2[[#This Row],[clicks]]=0,0,Table2[[#This Row],[conversions]]/Table2[[#This Row],[clicks]])</f>
        <v>1.9011406844106463E-2</v>
      </c>
      <c r="R183" s="30">
        <f>IF(Table2[[#This Row],[spend_inr]]=0,0,(Table2[[#This Row],[revenue_inr]]-Table2[[#This Row],[spend_inr]])/Table2[[#This Row],[spend_inr]])</f>
        <v>1.8080772592503724</v>
      </c>
      <c r="S183" s="31">
        <f>IF(Table2[[#This Row],[impressions]]=0,0,(Table2[[#This Row],[likes]]+Table2[[#This Row],[comments]]+Table2[[#This Row],[shares]])/Table2[[#This Row],[impressions]])</f>
        <v>0</v>
      </c>
      <c r="T183" s="27"/>
    </row>
    <row r="184" spans="1:20" ht="15.75">
      <c r="A184" s="23" t="s">
        <v>37</v>
      </c>
      <c r="B184" s="20" t="s">
        <v>38</v>
      </c>
      <c r="C184" s="20" t="s">
        <v>49</v>
      </c>
      <c r="D184" s="20" t="s">
        <v>40</v>
      </c>
      <c r="E184" s="20" t="s">
        <v>47</v>
      </c>
      <c r="F184" s="20">
        <v>32657</v>
      </c>
      <c r="G184" s="20">
        <v>361</v>
      </c>
      <c r="H184" s="20">
        <v>0</v>
      </c>
      <c r="I184" s="20">
        <v>4593.75</v>
      </c>
      <c r="J184" s="20">
        <v>2011.44</v>
      </c>
      <c r="K184" s="20">
        <v>109</v>
      </c>
      <c r="L184" s="20">
        <v>10</v>
      </c>
      <c r="M184" s="20">
        <v>9</v>
      </c>
      <c r="N184" s="29">
        <f>IF(Table2[[#This Row],[impressions]]=0,0,Table2[[#This Row],[spend_inr]]/Table2[[#This Row],[impressions]]*1000)</f>
        <v>140.66662583825826</v>
      </c>
      <c r="O184" s="31">
        <f>IF(Table2[[#This Row],[impressions]]=0,0,Table2[[#This Row],[clicks]]/Table2[[#This Row],[impressions]])</f>
        <v>1.1054291576078635E-2</v>
      </c>
      <c r="P184" s="32">
        <f>IF(Table2[[#This Row],[clicks]]=0,0,Table2[[#This Row],[spend_inr]]/Table2[[#This Row],[clicks]])</f>
        <v>12.725069252077562</v>
      </c>
      <c r="Q184" s="31">
        <f>IF(Table2[[#This Row],[clicks]]=0,0,Table2[[#This Row],[conversions]]/Table2[[#This Row],[clicks]])</f>
        <v>0</v>
      </c>
      <c r="R184" s="30">
        <f>IF(Table2[[#This Row],[spend_inr]]=0,0,(Table2[[#This Row],[revenue_inr]]-Table2[[#This Row],[spend_inr]])/Table2[[#This Row],[spend_inr]])</f>
        <v>-0.56213551020408159</v>
      </c>
      <c r="S184" s="31">
        <f>IF(Table2[[#This Row],[impressions]]=0,0,(Table2[[#This Row],[likes]]+Table2[[#This Row],[comments]]+Table2[[#This Row],[shares]])/Table2[[#This Row],[impressions]])</f>
        <v>3.9195272070306521E-3</v>
      </c>
      <c r="T184" s="27"/>
    </row>
    <row r="185" spans="1:20" ht="15.75">
      <c r="A185" s="23" t="s">
        <v>42</v>
      </c>
      <c r="B185" s="20" t="s">
        <v>38</v>
      </c>
      <c r="C185" s="20" t="s">
        <v>39</v>
      </c>
      <c r="D185" s="20" t="s">
        <v>46</v>
      </c>
      <c r="E185" s="20" t="s">
        <v>50</v>
      </c>
      <c r="F185" s="20">
        <v>0</v>
      </c>
      <c r="G185" s="20">
        <v>369</v>
      </c>
      <c r="H185" s="20">
        <v>5</v>
      </c>
      <c r="I185" s="20">
        <v>4568.63</v>
      </c>
      <c r="J185" s="20">
        <v>4016.84</v>
      </c>
      <c r="K185" s="20">
        <v>133</v>
      </c>
      <c r="L185" s="20">
        <v>11</v>
      </c>
      <c r="M185" s="20">
        <v>13</v>
      </c>
      <c r="N185" s="29">
        <f>IF(Table2[[#This Row],[impressions]]=0,0,Table2[[#This Row],[spend_inr]]/Table2[[#This Row],[impressions]]*1000)</f>
        <v>0</v>
      </c>
      <c r="O185" s="31">
        <f>IF(Table2[[#This Row],[impressions]]=0,0,Table2[[#This Row],[clicks]]/Table2[[#This Row],[impressions]])</f>
        <v>0</v>
      </c>
      <c r="P185" s="32">
        <f>IF(Table2[[#This Row],[clicks]]=0,0,Table2[[#This Row],[spend_inr]]/Table2[[#This Row],[clicks]])</f>
        <v>12.381111111111112</v>
      </c>
      <c r="Q185" s="31">
        <f>IF(Table2[[#This Row],[clicks]]=0,0,Table2[[#This Row],[conversions]]/Table2[[#This Row],[clicks]])</f>
        <v>1.3550135501355014E-2</v>
      </c>
      <c r="R185" s="30">
        <f>IF(Table2[[#This Row],[spend_inr]]=0,0,(Table2[[#This Row],[revenue_inr]]-Table2[[#This Row],[spend_inr]])/Table2[[#This Row],[spend_inr]])</f>
        <v>-0.12077800128266022</v>
      </c>
      <c r="S185" s="31">
        <f>IF(Table2[[#This Row],[impressions]]=0,0,(Table2[[#This Row],[likes]]+Table2[[#This Row],[comments]]+Table2[[#This Row],[shares]])/Table2[[#This Row],[impressions]])</f>
        <v>0</v>
      </c>
      <c r="T185" s="27"/>
    </row>
    <row r="186" spans="1:20" ht="15.75">
      <c r="A186" s="23" t="s">
        <v>51</v>
      </c>
      <c r="B186" s="20" t="s">
        <v>48</v>
      </c>
      <c r="C186" s="20" t="s">
        <v>39</v>
      </c>
      <c r="D186" s="20" t="s">
        <v>40</v>
      </c>
      <c r="E186" s="20" t="s">
        <v>50</v>
      </c>
      <c r="F186" s="20">
        <v>69385</v>
      </c>
      <c r="G186" s="20">
        <v>827</v>
      </c>
      <c r="H186" s="20">
        <v>11</v>
      </c>
      <c r="I186" s="20">
        <v>4543.72</v>
      </c>
      <c r="J186" s="20">
        <v>0</v>
      </c>
      <c r="K186" s="20">
        <v>359</v>
      </c>
      <c r="L186" s="20">
        <v>25</v>
      </c>
      <c r="M186" s="20">
        <v>23</v>
      </c>
      <c r="N186" s="29">
        <f>IF(Table2[[#This Row],[impressions]]=0,0,Table2[[#This Row],[spend_inr]]/Table2[[#This Row],[impressions]]*1000)</f>
        <v>65.485623693881976</v>
      </c>
      <c r="O186" s="31">
        <f>IF(Table2[[#This Row],[impressions]]=0,0,Table2[[#This Row],[clicks]]/Table2[[#This Row],[impressions]])</f>
        <v>1.1919002666282338E-2</v>
      </c>
      <c r="P186" s="32">
        <f>IF(Table2[[#This Row],[clicks]]=0,0,Table2[[#This Row],[spend_inr]]/Table2[[#This Row],[clicks]])</f>
        <v>5.494220072551391</v>
      </c>
      <c r="Q186" s="31">
        <f>IF(Table2[[#This Row],[clicks]]=0,0,Table2[[#This Row],[conversions]]/Table2[[#This Row],[clicks]])</f>
        <v>1.3301088270858524E-2</v>
      </c>
      <c r="R186" s="30">
        <f>IF(Table2[[#This Row],[spend_inr]]=0,0,(Table2[[#This Row],[revenue_inr]]-Table2[[#This Row],[spend_inr]])/Table2[[#This Row],[spend_inr]])</f>
        <v>-1</v>
      </c>
      <c r="S186" s="31">
        <f>IF(Table2[[#This Row],[impressions]]=0,0,(Table2[[#This Row],[likes]]+Table2[[#This Row],[comments]]+Table2[[#This Row],[shares]])/Table2[[#This Row],[impressions]])</f>
        <v>5.865821142898321E-3</v>
      </c>
      <c r="T186" s="27"/>
    </row>
    <row r="187" spans="1:20" ht="15.75">
      <c r="A187" s="23" t="s">
        <v>52</v>
      </c>
      <c r="B187" s="20" t="s">
        <v>44</v>
      </c>
      <c r="C187" s="20" t="s">
        <v>45</v>
      </c>
      <c r="D187" s="20" t="s">
        <v>40</v>
      </c>
      <c r="E187" s="20" t="s">
        <v>56</v>
      </c>
      <c r="F187" s="20">
        <v>39037</v>
      </c>
      <c r="G187" s="20">
        <v>697</v>
      </c>
      <c r="H187" s="20">
        <v>9</v>
      </c>
      <c r="I187" s="20">
        <v>4538.7</v>
      </c>
      <c r="J187" s="20">
        <v>12134.53</v>
      </c>
      <c r="K187" s="20">
        <v>0</v>
      </c>
      <c r="L187" s="20">
        <v>0</v>
      </c>
      <c r="M187" s="20">
        <v>0</v>
      </c>
      <c r="N187" s="29">
        <f>IF(Table2[[#This Row],[impressions]]=0,0,Table2[[#This Row],[spend_inr]]/Table2[[#This Row],[impressions]]*1000)</f>
        <v>116.26661884878447</v>
      </c>
      <c r="O187" s="31">
        <f>IF(Table2[[#This Row],[impressions]]=0,0,Table2[[#This Row],[clicks]]/Table2[[#This Row],[impressions]])</f>
        <v>1.7854855649768169E-2</v>
      </c>
      <c r="P187" s="32">
        <f>IF(Table2[[#This Row],[clicks]]=0,0,Table2[[#This Row],[spend_inr]]/Table2[[#This Row],[clicks]])</f>
        <v>6.5117647058823529</v>
      </c>
      <c r="Q187" s="31">
        <f>IF(Table2[[#This Row],[clicks]]=0,0,Table2[[#This Row],[conversions]]/Table2[[#This Row],[clicks]])</f>
        <v>1.2912482065997131E-2</v>
      </c>
      <c r="R187" s="30">
        <f>IF(Table2[[#This Row],[spend_inr]]=0,0,(Table2[[#This Row],[revenue_inr]]-Table2[[#This Row],[spend_inr]])/Table2[[#This Row],[spend_inr]])</f>
        <v>1.6735695243131297</v>
      </c>
      <c r="S187" s="31">
        <f>IF(Table2[[#This Row],[impressions]]=0,0,(Table2[[#This Row],[likes]]+Table2[[#This Row],[comments]]+Table2[[#This Row],[shares]])/Table2[[#This Row],[impressions]])</f>
        <v>0</v>
      </c>
      <c r="T187" s="27"/>
    </row>
    <row r="188" spans="1:20" ht="15.75">
      <c r="A188" s="23" t="s">
        <v>51</v>
      </c>
      <c r="B188" s="20" t="s">
        <v>38</v>
      </c>
      <c r="C188" s="20" t="s">
        <v>54</v>
      </c>
      <c r="D188" s="20" t="s">
        <v>46</v>
      </c>
      <c r="E188" s="20" t="s">
        <v>50</v>
      </c>
      <c r="F188" s="20">
        <v>17652</v>
      </c>
      <c r="G188" s="20">
        <v>172</v>
      </c>
      <c r="H188" s="20">
        <v>3</v>
      </c>
      <c r="I188" s="20">
        <v>4513.43</v>
      </c>
      <c r="J188" s="20">
        <v>1548.63</v>
      </c>
      <c r="K188" s="20">
        <v>52</v>
      </c>
      <c r="L188" s="20">
        <v>7</v>
      </c>
      <c r="M188" s="20">
        <v>4</v>
      </c>
      <c r="N188" s="29">
        <f>IF(Table2[[#This Row],[impressions]]=0,0,Table2[[#This Row],[spend_inr]]/Table2[[#This Row],[impressions]]*1000)</f>
        <v>255.68944029005215</v>
      </c>
      <c r="O188" s="31">
        <f>IF(Table2[[#This Row],[impressions]]=0,0,Table2[[#This Row],[clicks]]/Table2[[#This Row],[impressions]])</f>
        <v>9.7439383639247677E-3</v>
      </c>
      <c r="P188" s="32">
        <f>IF(Table2[[#This Row],[clicks]]=0,0,Table2[[#This Row],[spend_inr]]/Table2[[#This Row],[clicks]])</f>
        <v>26.240872093023256</v>
      </c>
      <c r="Q188" s="31">
        <f>IF(Table2[[#This Row],[clicks]]=0,0,Table2[[#This Row],[conversions]]/Table2[[#This Row],[clicks]])</f>
        <v>1.7441860465116279E-2</v>
      </c>
      <c r="R188" s="30">
        <f>IF(Table2[[#This Row],[spend_inr]]=0,0,(Table2[[#This Row],[revenue_inr]]-Table2[[#This Row],[spend_inr]])/Table2[[#This Row],[spend_inr]])</f>
        <v>-0.65688401060834001</v>
      </c>
      <c r="S188" s="31">
        <f>IF(Table2[[#This Row],[impressions]]=0,0,(Table2[[#This Row],[likes]]+Table2[[#This Row],[comments]]+Table2[[#This Row],[shares]])/Table2[[#This Row],[impressions]])</f>
        <v>3.5690006798096531E-3</v>
      </c>
      <c r="T188" s="27"/>
    </row>
    <row r="189" spans="1:20" ht="15.75">
      <c r="A189" s="23" t="s">
        <v>51</v>
      </c>
      <c r="B189" s="20" t="s">
        <v>44</v>
      </c>
      <c r="C189" s="20" t="s">
        <v>45</v>
      </c>
      <c r="D189" s="20" t="s">
        <v>40</v>
      </c>
      <c r="E189" s="20" t="s">
        <v>50</v>
      </c>
      <c r="F189" s="20">
        <v>73905</v>
      </c>
      <c r="G189" s="20">
        <v>1056</v>
      </c>
      <c r="H189" s="20">
        <v>13</v>
      </c>
      <c r="I189" s="20">
        <v>4504.78</v>
      </c>
      <c r="J189" s="20">
        <v>13690.12</v>
      </c>
      <c r="K189" s="20">
        <v>448</v>
      </c>
      <c r="L189" s="20">
        <v>29</v>
      </c>
      <c r="M189" s="20">
        <v>30</v>
      </c>
      <c r="N189" s="29">
        <f>IF(Table2[[#This Row],[impressions]]=0,0,Table2[[#This Row],[spend_inr]]/Table2[[#This Row],[impressions]]*1000)</f>
        <v>60.953656721466743</v>
      </c>
      <c r="O189" s="31">
        <f>IF(Table2[[#This Row],[impressions]]=0,0,Table2[[#This Row],[clicks]]/Table2[[#This Row],[impressions]])</f>
        <v>1.4288613760909275E-2</v>
      </c>
      <c r="P189" s="32">
        <f>IF(Table2[[#This Row],[clicks]]=0,0,Table2[[#This Row],[spend_inr]]/Table2[[#This Row],[clicks]])</f>
        <v>4.2658901515151513</v>
      </c>
      <c r="Q189" s="31">
        <f>IF(Table2[[#This Row],[clicks]]=0,0,Table2[[#This Row],[conversions]]/Table2[[#This Row],[clicks]])</f>
        <v>1.231060606060606E-2</v>
      </c>
      <c r="R189" s="30">
        <f>IF(Table2[[#This Row],[spend_inr]]=0,0,(Table2[[#This Row],[revenue_inr]]-Table2[[#This Row],[spend_inr]])/Table2[[#This Row],[spend_inr]])</f>
        <v>2.0390207734894936</v>
      </c>
      <c r="S189" s="31">
        <f>IF(Table2[[#This Row],[impressions]]=0,0,(Table2[[#This Row],[likes]]+Table2[[#This Row],[comments]]+Table2[[#This Row],[shares]])/Table2[[#This Row],[impressions]])</f>
        <v>6.8601583113456462E-3</v>
      </c>
      <c r="T189" s="27"/>
    </row>
    <row r="190" spans="1:20" ht="15.75">
      <c r="A190" s="23" t="s">
        <v>37</v>
      </c>
      <c r="B190" s="20" t="s">
        <v>43</v>
      </c>
      <c r="C190" s="20" t="s">
        <v>49</v>
      </c>
      <c r="D190" s="20" t="s">
        <v>46</v>
      </c>
      <c r="E190" s="20" t="s">
        <v>50</v>
      </c>
      <c r="F190" s="20">
        <v>35997</v>
      </c>
      <c r="G190" s="20">
        <v>570</v>
      </c>
      <c r="H190" s="20">
        <v>13</v>
      </c>
      <c r="I190" s="20">
        <v>4488.67</v>
      </c>
      <c r="J190" s="20">
        <v>9390.3799999999992</v>
      </c>
      <c r="K190" s="20">
        <v>243</v>
      </c>
      <c r="L190" s="20">
        <v>12</v>
      </c>
      <c r="M190" s="20">
        <v>21</v>
      </c>
      <c r="N190" s="29">
        <f>IF(Table2[[#This Row],[impressions]]=0,0,Table2[[#This Row],[spend_inr]]/Table2[[#This Row],[impressions]]*1000)</f>
        <v>124.69566908353474</v>
      </c>
      <c r="O190" s="31">
        <f>IF(Table2[[#This Row],[impressions]]=0,0,Table2[[#This Row],[clicks]]/Table2[[#This Row],[impressions]])</f>
        <v>1.5834652887740646E-2</v>
      </c>
      <c r="P190" s="32">
        <f>IF(Table2[[#This Row],[clicks]]=0,0,Table2[[#This Row],[spend_inr]]/Table2[[#This Row],[clicks]])</f>
        <v>7.8748596491228069</v>
      </c>
      <c r="Q190" s="31">
        <f>IF(Table2[[#This Row],[clicks]]=0,0,Table2[[#This Row],[conversions]]/Table2[[#This Row],[clicks]])</f>
        <v>2.2807017543859651E-2</v>
      </c>
      <c r="R190" s="30">
        <f>IF(Table2[[#This Row],[spend_inr]]=0,0,(Table2[[#This Row],[revenue_inr]]-Table2[[#This Row],[spend_inr]])/Table2[[#This Row],[spend_inr]])</f>
        <v>1.0920183484194648</v>
      </c>
      <c r="S190" s="31">
        <f>IF(Table2[[#This Row],[impressions]]=0,0,(Table2[[#This Row],[likes]]+Table2[[#This Row],[comments]]+Table2[[#This Row],[shares]])/Table2[[#This Row],[impressions]])</f>
        <v>7.667305608800733E-3</v>
      </c>
      <c r="T190" s="27"/>
    </row>
    <row r="191" spans="1:20" ht="15.75">
      <c r="A191" s="23" t="s">
        <v>37</v>
      </c>
      <c r="B191" s="20" t="s">
        <v>44</v>
      </c>
      <c r="C191" s="20" t="s">
        <v>49</v>
      </c>
      <c r="D191" s="20" t="s">
        <v>46</v>
      </c>
      <c r="E191" s="20" t="s">
        <v>47</v>
      </c>
      <c r="F191" s="20">
        <v>57991</v>
      </c>
      <c r="G191" s="20">
        <v>0</v>
      </c>
      <c r="H191" s="20">
        <v>19</v>
      </c>
      <c r="I191" s="20">
        <v>4461.57</v>
      </c>
      <c r="J191" s="20">
        <v>0</v>
      </c>
      <c r="K191" s="20">
        <v>223</v>
      </c>
      <c r="L191" s="20">
        <v>16</v>
      </c>
      <c r="M191" s="20">
        <v>13</v>
      </c>
      <c r="N191" s="29">
        <f>IF(Table2[[#This Row],[impressions]]=0,0,Table2[[#This Row],[spend_inr]]/Table2[[#This Row],[impressions]]*1000)</f>
        <v>76.935558966046457</v>
      </c>
      <c r="O191" s="31">
        <f>IF(Table2[[#This Row],[impressions]]=0,0,Table2[[#This Row],[clicks]]/Table2[[#This Row],[impressions]])</f>
        <v>0</v>
      </c>
      <c r="P191" s="32">
        <f>IF(Table2[[#This Row],[clicks]]=0,0,Table2[[#This Row],[spend_inr]]/Table2[[#This Row],[clicks]])</f>
        <v>0</v>
      </c>
      <c r="Q191" s="31">
        <f>IF(Table2[[#This Row],[clicks]]=0,0,Table2[[#This Row],[conversions]]/Table2[[#This Row],[clicks]])</f>
        <v>0</v>
      </c>
      <c r="R191" s="30">
        <f>IF(Table2[[#This Row],[spend_inr]]=0,0,(Table2[[#This Row],[revenue_inr]]-Table2[[#This Row],[spend_inr]])/Table2[[#This Row],[spend_inr]])</f>
        <v>-1</v>
      </c>
      <c r="S191" s="31">
        <f>IF(Table2[[#This Row],[impressions]]=0,0,(Table2[[#This Row],[likes]]+Table2[[#This Row],[comments]]+Table2[[#This Row],[shares]])/Table2[[#This Row],[impressions]])</f>
        <v>4.345501888224035E-3</v>
      </c>
      <c r="T191" s="27"/>
    </row>
    <row r="192" spans="1:20" ht="15.75">
      <c r="A192" s="23" t="s">
        <v>42</v>
      </c>
      <c r="B192" s="20" t="s">
        <v>43</v>
      </c>
      <c r="C192" s="20" t="s">
        <v>54</v>
      </c>
      <c r="D192" s="20" t="s">
        <v>40</v>
      </c>
      <c r="E192" s="20" t="s">
        <v>50</v>
      </c>
      <c r="F192" s="20">
        <v>19197</v>
      </c>
      <c r="G192" s="20">
        <v>147</v>
      </c>
      <c r="H192" s="20">
        <v>4</v>
      </c>
      <c r="I192" s="20">
        <v>4458.49</v>
      </c>
      <c r="J192" s="20">
        <v>5457.92</v>
      </c>
      <c r="K192" s="20">
        <v>55</v>
      </c>
      <c r="L192" s="20">
        <v>4</v>
      </c>
      <c r="M192" s="20">
        <v>5</v>
      </c>
      <c r="N192" s="29">
        <f>IF(Table2[[#This Row],[impressions]]=0,0,Table2[[#This Row],[spend_inr]]/Table2[[#This Row],[impressions]]*1000)</f>
        <v>232.2493097879877</v>
      </c>
      <c r="O192" s="31">
        <f>IF(Table2[[#This Row],[impressions]]=0,0,Table2[[#This Row],[clicks]]/Table2[[#This Row],[impressions]])</f>
        <v>7.6574464760118767E-3</v>
      </c>
      <c r="P192" s="32">
        <f>IF(Table2[[#This Row],[clicks]]=0,0,Table2[[#This Row],[spend_inr]]/Table2[[#This Row],[clicks]])</f>
        <v>30.329863945578229</v>
      </c>
      <c r="Q192" s="31">
        <f>IF(Table2[[#This Row],[clicks]]=0,0,Table2[[#This Row],[conversions]]/Table2[[#This Row],[clicks]])</f>
        <v>2.7210884353741496E-2</v>
      </c>
      <c r="R192" s="30">
        <f>IF(Table2[[#This Row],[spend_inr]]=0,0,(Table2[[#This Row],[revenue_inr]]-Table2[[#This Row],[spend_inr]])/Table2[[#This Row],[spend_inr]])</f>
        <v>0.22416333781168071</v>
      </c>
      <c r="S192" s="31">
        <f>IF(Table2[[#This Row],[impressions]]=0,0,(Table2[[#This Row],[likes]]+Table2[[#This Row],[comments]]+Table2[[#This Row],[shares]])/Table2[[#This Row],[impressions]])</f>
        <v>3.3338542480595926E-3</v>
      </c>
      <c r="T192" s="27"/>
    </row>
    <row r="193" spans="1:20" ht="15.75">
      <c r="A193" s="23" t="s">
        <v>51</v>
      </c>
      <c r="B193" s="20" t="s">
        <v>38</v>
      </c>
      <c r="C193" s="20" t="s">
        <v>39</v>
      </c>
      <c r="D193" s="20" t="s">
        <v>46</v>
      </c>
      <c r="E193" s="20" t="s">
        <v>50</v>
      </c>
      <c r="F193" s="20">
        <v>78542</v>
      </c>
      <c r="G193" s="20">
        <v>671</v>
      </c>
      <c r="H193" s="20">
        <v>9</v>
      </c>
      <c r="I193" s="20">
        <v>4379.83</v>
      </c>
      <c r="J193" s="20">
        <v>10955.25</v>
      </c>
      <c r="K193" s="20">
        <v>266</v>
      </c>
      <c r="L193" s="20">
        <v>21</v>
      </c>
      <c r="M193" s="20">
        <v>25</v>
      </c>
      <c r="N193" s="29">
        <f>IF(Table2[[#This Row],[impressions]]=0,0,Table2[[#This Row],[spend_inr]]/Table2[[#This Row],[impressions]]*1000)</f>
        <v>55.764177128160732</v>
      </c>
      <c r="O193" s="31">
        <f>IF(Table2[[#This Row],[impressions]]=0,0,Table2[[#This Row],[clicks]]/Table2[[#This Row],[impressions]])</f>
        <v>8.5431998166586032E-3</v>
      </c>
      <c r="P193" s="32">
        <f>IF(Table2[[#This Row],[clicks]]=0,0,Table2[[#This Row],[spend_inr]]/Table2[[#This Row],[clicks]])</f>
        <v>6.5273174366616988</v>
      </c>
      <c r="Q193" s="31">
        <f>IF(Table2[[#This Row],[clicks]]=0,0,Table2[[#This Row],[conversions]]/Table2[[#This Row],[clicks]])</f>
        <v>1.3412816691505217E-2</v>
      </c>
      <c r="R193" s="30">
        <f>IF(Table2[[#This Row],[spend_inr]]=0,0,(Table2[[#This Row],[revenue_inr]]-Table2[[#This Row],[spend_inr]])/Table2[[#This Row],[spend_inr]])</f>
        <v>1.5012957123906636</v>
      </c>
      <c r="S193" s="31">
        <f>IF(Table2[[#This Row],[impressions]]=0,0,(Table2[[#This Row],[likes]]+Table2[[#This Row],[comments]]+Table2[[#This Row],[shares]])/Table2[[#This Row],[impressions]])</f>
        <v>3.9723969341244171E-3</v>
      </c>
      <c r="T193" s="27"/>
    </row>
    <row r="194" spans="1:20" ht="15.75">
      <c r="A194" s="23" t="s">
        <v>42</v>
      </c>
      <c r="B194" s="20" t="s">
        <v>43</v>
      </c>
      <c r="C194" s="20" t="s">
        <v>55</v>
      </c>
      <c r="D194" s="20" t="s">
        <v>46</v>
      </c>
      <c r="E194" s="20" t="s">
        <v>50</v>
      </c>
      <c r="F194" s="20">
        <v>18781</v>
      </c>
      <c r="G194" s="20">
        <v>161</v>
      </c>
      <c r="H194" s="20">
        <v>3</v>
      </c>
      <c r="I194" s="20">
        <v>4362.21</v>
      </c>
      <c r="J194" s="20">
        <v>4260.82</v>
      </c>
      <c r="K194" s="20">
        <v>48</v>
      </c>
      <c r="L194" s="20">
        <v>8</v>
      </c>
      <c r="M194" s="20">
        <v>5</v>
      </c>
      <c r="N194" s="29">
        <f>IF(Table2[[#This Row],[impressions]]=0,0,Table2[[#This Row],[spend_inr]]/Table2[[#This Row],[impressions]]*1000)</f>
        <v>232.26718492093073</v>
      </c>
      <c r="O194" s="31">
        <f>IF(Table2[[#This Row],[impressions]]=0,0,Table2[[#This Row],[clicks]]/Table2[[#This Row],[impressions]])</f>
        <v>8.5724934774506142E-3</v>
      </c>
      <c r="P194" s="32">
        <f>IF(Table2[[#This Row],[clicks]]=0,0,Table2[[#This Row],[spend_inr]]/Table2[[#This Row],[clicks]])</f>
        <v>27.09447204968944</v>
      </c>
      <c r="Q194" s="31">
        <f>IF(Table2[[#This Row],[clicks]]=0,0,Table2[[#This Row],[conversions]]/Table2[[#This Row],[clicks]])</f>
        <v>1.8633540372670808E-2</v>
      </c>
      <c r="R194" s="30">
        <f>IF(Table2[[#This Row],[spend_inr]]=0,0,(Table2[[#This Row],[revenue_inr]]-Table2[[#This Row],[spend_inr]])/Table2[[#This Row],[spend_inr]])</f>
        <v>-2.3242805825487614E-2</v>
      </c>
      <c r="S194" s="31">
        <f>IF(Table2[[#This Row],[impressions]]=0,0,(Table2[[#This Row],[likes]]+Table2[[#This Row],[comments]]+Table2[[#This Row],[shares]])/Table2[[#This Row],[impressions]])</f>
        <v>3.2479633672328418E-3</v>
      </c>
      <c r="T194" s="27"/>
    </row>
    <row r="195" spans="1:20" ht="15.75">
      <c r="A195" s="23" t="s">
        <v>37</v>
      </c>
      <c r="B195" s="20" t="s">
        <v>48</v>
      </c>
      <c r="C195" s="20" t="s">
        <v>49</v>
      </c>
      <c r="D195" s="20" t="s">
        <v>46</v>
      </c>
      <c r="E195" s="20" t="s">
        <v>50</v>
      </c>
      <c r="F195" s="20">
        <v>44687</v>
      </c>
      <c r="G195" s="20">
        <v>666</v>
      </c>
      <c r="H195" s="20">
        <v>11</v>
      </c>
      <c r="I195" s="20">
        <v>4347.6000000000004</v>
      </c>
      <c r="J195" s="20">
        <v>14984.32</v>
      </c>
      <c r="K195" s="20">
        <v>331</v>
      </c>
      <c r="L195" s="20">
        <v>28</v>
      </c>
      <c r="M195" s="20">
        <v>7</v>
      </c>
      <c r="N195" s="29">
        <f>IF(Table2[[#This Row],[impressions]]=0,0,Table2[[#This Row],[spend_inr]]/Table2[[#This Row],[impressions]]*1000)</f>
        <v>97.290039608834803</v>
      </c>
      <c r="O195" s="31">
        <f>IF(Table2[[#This Row],[impressions]]=0,0,Table2[[#This Row],[clicks]]/Table2[[#This Row],[impressions]])</f>
        <v>1.4903663257770716E-2</v>
      </c>
      <c r="P195" s="32">
        <f>IF(Table2[[#This Row],[clicks]]=0,0,Table2[[#This Row],[spend_inr]]/Table2[[#This Row],[clicks]])</f>
        <v>6.5279279279279283</v>
      </c>
      <c r="Q195" s="31">
        <f>IF(Table2[[#This Row],[clicks]]=0,0,Table2[[#This Row],[conversions]]/Table2[[#This Row],[clicks]])</f>
        <v>1.6516516516516516E-2</v>
      </c>
      <c r="R195" s="30">
        <f>IF(Table2[[#This Row],[spend_inr]]=0,0,(Table2[[#This Row],[revenue_inr]]-Table2[[#This Row],[spend_inr]])/Table2[[#This Row],[spend_inr]])</f>
        <v>2.4465728217867326</v>
      </c>
      <c r="S195" s="31">
        <f>IF(Table2[[#This Row],[impressions]]=0,0,(Table2[[#This Row],[likes]]+Table2[[#This Row],[comments]]+Table2[[#This Row],[shares]])/Table2[[#This Row],[impressions]])</f>
        <v>8.1903014299460689E-3</v>
      </c>
      <c r="T195" s="27"/>
    </row>
    <row r="196" spans="1:20" ht="15.75">
      <c r="A196" s="23" t="s">
        <v>52</v>
      </c>
      <c r="B196" s="20" t="s">
        <v>48</v>
      </c>
      <c r="C196" s="20" t="s">
        <v>49</v>
      </c>
      <c r="D196" s="20" t="s">
        <v>40</v>
      </c>
      <c r="E196" s="20" t="s">
        <v>53</v>
      </c>
      <c r="F196" s="20">
        <v>25738</v>
      </c>
      <c r="G196" s="20">
        <v>852</v>
      </c>
      <c r="H196" s="20">
        <v>34</v>
      </c>
      <c r="I196" s="20">
        <v>4304.62</v>
      </c>
      <c r="J196" s="20">
        <v>39599.11</v>
      </c>
      <c r="K196" s="20">
        <v>0</v>
      </c>
      <c r="L196" s="20">
        <v>0</v>
      </c>
      <c r="M196" s="20">
        <v>0</v>
      </c>
      <c r="N196" s="29">
        <f>IF(Table2[[#This Row],[impressions]]=0,0,Table2[[#This Row],[spend_inr]]/Table2[[#This Row],[impressions]]*1000)</f>
        <v>167.24764939000698</v>
      </c>
      <c r="O196" s="31">
        <f>IF(Table2[[#This Row],[impressions]]=0,0,Table2[[#This Row],[clicks]]/Table2[[#This Row],[impressions]])</f>
        <v>3.3102805190768511E-2</v>
      </c>
      <c r="P196" s="32">
        <f>IF(Table2[[#This Row],[clicks]]=0,0,Table2[[#This Row],[spend_inr]]/Table2[[#This Row],[clicks]])</f>
        <v>5.0523708920187795</v>
      </c>
      <c r="Q196" s="31">
        <f>IF(Table2[[#This Row],[clicks]]=0,0,Table2[[#This Row],[conversions]]/Table2[[#This Row],[clicks]])</f>
        <v>3.9906103286384977E-2</v>
      </c>
      <c r="R196" s="30">
        <f>IF(Table2[[#This Row],[spend_inr]]=0,0,(Table2[[#This Row],[revenue_inr]]-Table2[[#This Row],[spend_inr]])/Table2[[#This Row],[spend_inr]])</f>
        <v>8.1992115448053475</v>
      </c>
      <c r="S196" s="31">
        <f>IF(Table2[[#This Row],[impressions]]=0,0,(Table2[[#This Row],[likes]]+Table2[[#This Row],[comments]]+Table2[[#This Row],[shares]])/Table2[[#This Row],[impressions]])</f>
        <v>0</v>
      </c>
      <c r="T196" s="27"/>
    </row>
    <row r="197" spans="1:20" ht="15.75">
      <c r="A197" s="23" t="s">
        <v>51</v>
      </c>
      <c r="B197" s="20" t="s">
        <v>44</v>
      </c>
      <c r="C197" s="20" t="s">
        <v>55</v>
      </c>
      <c r="D197" s="20" t="s">
        <v>46</v>
      </c>
      <c r="E197" s="20" t="s">
        <v>50</v>
      </c>
      <c r="F197" s="20">
        <v>67179</v>
      </c>
      <c r="G197" s="20">
        <v>443</v>
      </c>
      <c r="H197" s="20">
        <v>6</v>
      </c>
      <c r="I197" s="20">
        <v>4280.67</v>
      </c>
      <c r="J197" s="20">
        <v>7433.56</v>
      </c>
      <c r="K197" s="20">
        <v>135</v>
      </c>
      <c r="L197" s="20">
        <v>20</v>
      </c>
      <c r="M197" s="20">
        <v>5</v>
      </c>
      <c r="N197" s="29">
        <f>IF(Table2[[#This Row],[impressions]]=0,0,Table2[[#This Row],[spend_inr]]/Table2[[#This Row],[impressions]]*1000)</f>
        <v>63.720359040771669</v>
      </c>
      <c r="O197" s="31">
        <f>IF(Table2[[#This Row],[impressions]]=0,0,Table2[[#This Row],[clicks]]/Table2[[#This Row],[impressions]])</f>
        <v>6.5943226305839623E-3</v>
      </c>
      <c r="P197" s="32">
        <f>IF(Table2[[#This Row],[clicks]]=0,0,Table2[[#This Row],[spend_inr]]/Table2[[#This Row],[clicks]])</f>
        <v>9.6629119638826193</v>
      </c>
      <c r="Q197" s="31">
        <f>IF(Table2[[#This Row],[clicks]]=0,0,Table2[[#This Row],[conversions]]/Table2[[#This Row],[clicks]])</f>
        <v>1.3544018058690745E-2</v>
      </c>
      <c r="R197" s="30">
        <f>IF(Table2[[#This Row],[spend_inr]]=0,0,(Table2[[#This Row],[revenue_inr]]-Table2[[#This Row],[spend_inr]])/Table2[[#This Row],[spend_inr]])</f>
        <v>0.73654124237560947</v>
      </c>
      <c r="S197" s="31">
        <f>IF(Table2[[#This Row],[impressions]]=0,0,(Table2[[#This Row],[likes]]+Table2[[#This Row],[comments]]+Table2[[#This Row],[shares]])/Table2[[#This Row],[impressions]])</f>
        <v>2.381696661158993E-3</v>
      </c>
      <c r="T197" s="27"/>
    </row>
    <row r="198" spans="1:20" ht="15.75">
      <c r="A198" s="23" t="s">
        <v>42</v>
      </c>
      <c r="B198" s="20" t="s">
        <v>44</v>
      </c>
      <c r="C198" s="20" t="s">
        <v>54</v>
      </c>
      <c r="D198" s="20" t="s">
        <v>46</v>
      </c>
      <c r="E198" s="20" t="s">
        <v>65</v>
      </c>
      <c r="F198" s="20">
        <v>11601</v>
      </c>
      <c r="G198" s="20">
        <v>66</v>
      </c>
      <c r="H198" s="20">
        <v>1</v>
      </c>
      <c r="I198" s="20">
        <v>4250.96</v>
      </c>
      <c r="J198" s="20">
        <v>767.89</v>
      </c>
      <c r="K198" s="20">
        <v>22</v>
      </c>
      <c r="L198" s="20">
        <v>1</v>
      </c>
      <c r="M198" s="20">
        <v>0</v>
      </c>
      <c r="N198" s="29">
        <f>IF(Table2[[#This Row],[impressions]]=0,0,Table2[[#This Row],[spend_inr]]/Table2[[#This Row],[impressions]]*1000)</f>
        <v>366.43048013102322</v>
      </c>
      <c r="O198" s="31">
        <f>IF(Table2[[#This Row],[impressions]]=0,0,Table2[[#This Row],[clicks]]/Table2[[#This Row],[impressions]])</f>
        <v>5.6891647271786914E-3</v>
      </c>
      <c r="P198" s="32">
        <f>IF(Table2[[#This Row],[clicks]]=0,0,Table2[[#This Row],[spend_inr]]/Table2[[#This Row],[clicks]])</f>
        <v>64.408484848484846</v>
      </c>
      <c r="Q198" s="31">
        <f>IF(Table2[[#This Row],[clicks]]=0,0,Table2[[#This Row],[conversions]]/Table2[[#This Row],[clicks]])</f>
        <v>1.5151515151515152E-2</v>
      </c>
      <c r="R198" s="30">
        <f>IF(Table2[[#This Row],[spend_inr]]=0,0,(Table2[[#This Row],[revenue_inr]]-Table2[[#This Row],[spend_inr]])/Table2[[#This Row],[spend_inr]])</f>
        <v>-0.81936080320680504</v>
      </c>
      <c r="S198" s="31">
        <f>IF(Table2[[#This Row],[impressions]]=0,0,(Table2[[#This Row],[likes]]+Table2[[#This Row],[comments]]+Table2[[#This Row],[shares]])/Table2[[#This Row],[impressions]])</f>
        <v>1.9825877079562106E-3</v>
      </c>
      <c r="T198" s="27"/>
    </row>
    <row r="199" spans="1:20" ht="15.75">
      <c r="A199" s="23" t="s">
        <v>52</v>
      </c>
      <c r="B199" s="20" t="s">
        <v>44</v>
      </c>
      <c r="C199" s="20" t="s">
        <v>55</v>
      </c>
      <c r="D199" s="20" t="s">
        <v>46</v>
      </c>
      <c r="E199" s="20" t="s">
        <v>56</v>
      </c>
      <c r="F199" s="20">
        <v>31061</v>
      </c>
      <c r="G199" s="20">
        <v>0</v>
      </c>
      <c r="H199" s="20">
        <v>0</v>
      </c>
      <c r="I199" s="20">
        <v>4243.71</v>
      </c>
      <c r="J199" s="20">
        <v>0</v>
      </c>
      <c r="K199" s="20">
        <v>0</v>
      </c>
      <c r="L199" s="20">
        <v>0</v>
      </c>
      <c r="M199" s="20">
        <v>0</v>
      </c>
      <c r="N199" s="29">
        <f>IF(Table2[[#This Row],[impressions]]=0,0,Table2[[#This Row],[spend_inr]]/Table2[[#This Row],[impressions]]*1000)</f>
        <v>136.62502817037441</v>
      </c>
      <c r="O199" s="31">
        <f>IF(Table2[[#This Row],[impressions]]=0,0,Table2[[#This Row],[clicks]]/Table2[[#This Row],[impressions]])</f>
        <v>0</v>
      </c>
      <c r="P199" s="32">
        <f>IF(Table2[[#This Row],[clicks]]=0,0,Table2[[#This Row],[spend_inr]]/Table2[[#This Row],[clicks]])</f>
        <v>0</v>
      </c>
      <c r="Q199" s="31">
        <f>IF(Table2[[#This Row],[clicks]]=0,0,Table2[[#This Row],[conversions]]/Table2[[#This Row],[clicks]])</f>
        <v>0</v>
      </c>
      <c r="R199" s="30">
        <f>IF(Table2[[#This Row],[spend_inr]]=0,0,(Table2[[#This Row],[revenue_inr]]-Table2[[#This Row],[spend_inr]])/Table2[[#This Row],[spend_inr]])</f>
        <v>-1</v>
      </c>
      <c r="S199" s="31">
        <f>IF(Table2[[#This Row],[impressions]]=0,0,(Table2[[#This Row],[likes]]+Table2[[#This Row],[comments]]+Table2[[#This Row],[shares]])/Table2[[#This Row],[impressions]])</f>
        <v>0</v>
      </c>
      <c r="T199" s="27"/>
    </row>
    <row r="200" spans="1:20" ht="15.75" hidden="1">
      <c r="A200" s="23" t="s">
        <v>52</v>
      </c>
      <c r="B200" s="20" t="s">
        <v>67</v>
      </c>
      <c r="C200" s="20" t="s">
        <v>49</v>
      </c>
      <c r="D200" s="20" t="s">
        <v>40</v>
      </c>
      <c r="E200" s="20" t="s">
        <v>53</v>
      </c>
      <c r="F200" s="20">
        <v>66978</v>
      </c>
      <c r="G200" s="20">
        <v>3348</v>
      </c>
      <c r="H200" s="20">
        <v>140</v>
      </c>
      <c r="I200" s="20">
        <v>4227.91</v>
      </c>
      <c r="J200" s="33">
        <v>189550.73</v>
      </c>
      <c r="K200" s="20">
        <v>0</v>
      </c>
      <c r="L200" s="20">
        <v>0</v>
      </c>
      <c r="M200" s="20">
        <v>0</v>
      </c>
      <c r="N200" s="29">
        <f>IF(Table2[[#This Row],[impressions]]=0,0,Table2[[#This Row],[spend_inr]]/Table2[[#This Row],[impressions]]*1000)</f>
        <v>63.123861566484514</v>
      </c>
      <c r="O200" s="31">
        <f>IF(Table2[[#This Row],[impressions]]=0,0,Table2[[#This Row],[clicks]]/Table2[[#This Row],[impressions]])</f>
        <v>4.9986562751948398E-2</v>
      </c>
      <c r="P200" s="32">
        <f>IF(Table2[[#This Row],[clicks]]=0,0,Table2[[#This Row],[spend_inr]]/Table2[[#This Row],[clicks]])</f>
        <v>1.2628166069295101</v>
      </c>
      <c r="Q200" s="31">
        <f>IF(Table2[[#This Row],[clicks]]=0,0,Table2[[#This Row],[conversions]]/Table2[[#This Row],[clicks]])</f>
        <v>4.1816009557945039E-2</v>
      </c>
      <c r="R200" s="30">
        <f>IF(Table2[[#This Row],[spend_inr]]=0,0,(Table2[[#This Row],[revenue_inr]]-Table2[[#This Row],[spend_inr]])/Table2[[#This Row],[spend_inr]])</f>
        <v>43.833198909153701</v>
      </c>
      <c r="S200" s="31">
        <f>IF(Table2[[#This Row],[impressions]]=0,0,(Table2[[#This Row],[likes]]+Table2[[#This Row],[comments]]+Table2[[#This Row],[shares]])/Table2[[#This Row],[impressions]])</f>
        <v>0</v>
      </c>
      <c r="T200" s="27" t="s">
        <v>171</v>
      </c>
    </row>
    <row r="201" spans="1:20" ht="15.75">
      <c r="A201" s="23" t="s">
        <v>37</v>
      </c>
      <c r="B201" s="20" t="s">
        <v>48</v>
      </c>
      <c r="C201" s="20" t="s">
        <v>49</v>
      </c>
      <c r="D201" s="20" t="s">
        <v>46</v>
      </c>
      <c r="E201" s="20" t="s">
        <v>47</v>
      </c>
      <c r="F201" s="20">
        <v>48856</v>
      </c>
      <c r="G201" s="20">
        <v>927</v>
      </c>
      <c r="H201" s="20">
        <v>10</v>
      </c>
      <c r="I201" s="20">
        <v>4189.43</v>
      </c>
      <c r="J201" s="20">
        <v>12592.39</v>
      </c>
      <c r="K201" s="20">
        <v>337</v>
      </c>
      <c r="L201" s="20">
        <v>37</v>
      </c>
      <c r="M201" s="20">
        <v>25</v>
      </c>
      <c r="N201" s="29">
        <f>IF(Table2[[#This Row],[impressions]]=0,0,Table2[[#This Row],[spend_inr]]/Table2[[#This Row],[impressions]]*1000)</f>
        <v>85.750573112821357</v>
      </c>
      <c r="O201" s="31">
        <f>IF(Table2[[#This Row],[impressions]]=0,0,Table2[[#This Row],[clicks]]/Table2[[#This Row],[impressions]])</f>
        <v>1.8974128049778941E-2</v>
      </c>
      <c r="P201" s="32">
        <f>IF(Table2[[#This Row],[clicks]]=0,0,Table2[[#This Row],[spend_inr]]/Table2[[#This Row],[clicks]])</f>
        <v>4.519341963322546</v>
      </c>
      <c r="Q201" s="31">
        <f>IF(Table2[[#This Row],[clicks]]=0,0,Table2[[#This Row],[conversions]]/Table2[[#This Row],[clicks]])</f>
        <v>1.0787486515641856E-2</v>
      </c>
      <c r="R201" s="30">
        <f>IF(Table2[[#This Row],[spend_inr]]=0,0,(Table2[[#This Row],[revenue_inr]]-Table2[[#This Row],[spend_inr]])/Table2[[#This Row],[spend_inr]])</f>
        <v>2.005752572545668</v>
      </c>
      <c r="S201" s="31">
        <f>IF(Table2[[#This Row],[impressions]]=0,0,(Table2[[#This Row],[likes]]+Table2[[#This Row],[comments]]+Table2[[#This Row],[shares]])/Table2[[#This Row],[impressions]])</f>
        <v>8.1668577042737847E-3</v>
      </c>
      <c r="T201" s="27"/>
    </row>
    <row r="202" spans="1:20" ht="15.75">
      <c r="A202" s="23" t="s">
        <v>37</v>
      </c>
      <c r="B202" s="20" t="s">
        <v>38</v>
      </c>
      <c r="C202" s="20" t="s">
        <v>45</v>
      </c>
      <c r="D202" s="20" t="s">
        <v>46</v>
      </c>
      <c r="E202" s="20" t="s">
        <v>47</v>
      </c>
      <c r="F202" s="20">
        <v>29941</v>
      </c>
      <c r="G202" s="20">
        <v>413</v>
      </c>
      <c r="H202" s="20">
        <v>10</v>
      </c>
      <c r="I202" s="20">
        <v>4170.5600000000004</v>
      </c>
      <c r="J202" s="20">
        <v>8745.1</v>
      </c>
      <c r="K202" s="20">
        <v>174</v>
      </c>
      <c r="L202" s="20">
        <v>11</v>
      </c>
      <c r="M202" s="20">
        <v>14</v>
      </c>
      <c r="N202" s="29">
        <f>IF(Table2[[#This Row],[impressions]]=0,0,Table2[[#This Row],[spend_inr]]/Table2[[#This Row],[impressions]]*1000)</f>
        <v>139.29260879730137</v>
      </c>
      <c r="O202" s="31">
        <f>IF(Table2[[#This Row],[impressions]]=0,0,Table2[[#This Row],[clicks]]/Table2[[#This Row],[impressions]])</f>
        <v>1.3793794462442804E-2</v>
      </c>
      <c r="P202" s="32">
        <f>IF(Table2[[#This Row],[clicks]]=0,0,Table2[[#This Row],[spend_inr]]/Table2[[#This Row],[clicks]])</f>
        <v>10.098208232445522</v>
      </c>
      <c r="Q202" s="31">
        <f>IF(Table2[[#This Row],[clicks]]=0,0,Table2[[#This Row],[conversions]]/Table2[[#This Row],[clicks]])</f>
        <v>2.4213075060532687E-2</v>
      </c>
      <c r="R202" s="30">
        <f>IF(Table2[[#This Row],[spend_inr]]=0,0,(Table2[[#This Row],[revenue_inr]]-Table2[[#This Row],[spend_inr]])/Table2[[#This Row],[spend_inr]])</f>
        <v>1.096864689634006</v>
      </c>
      <c r="S202" s="31">
        <f>IF(Table2[[#This Row],[impressions]]=0,0,(Table2[[#This Row],[likes]]+Table2[[#This Row],[comments]]+Table2[[#This Row],[shares]])/Table2[[#This Row],[impressions]])</f>
        <v>6.6464045957048863E-3</v>
      </c>
      <c r="T202" s="27"/>
    </row>
    <row r="203" spans="1:20" ht="15.75">
      <c r="A203" s="23" t="s">
        <v>37</v>
      </c>
      <c r="B203" s="20" t="s">
        <v>38</v>
      </c>
      <c r="C203" s="20" t="s">
        <v>39</v>
      </c>
      <c r="D203" s="20" t="s">
        <v>40</v>
      </c>
      <c r="E203" s="20" t="s">
        <v>47</v>
      </c>
      <c r="F203" s="20">
        <v>56979</v>
      </c>
      <c r="G203" s="20">
        <v>892</v>
      </c>
      <c r="H203" s="20">
        <v>18</v>
      </c>
      <c r="I203" s="20">
        <v>4163.74</v>
      </c>
      <c r="J203" s="20">
        <v>18483</v>
      </c>
      <c r="K203" s="20">
        <v>407</v>
      </c>
      <c r="L203" s="20">
        <v>33</v>
      </c>
      <c r="M203" s="20">
        <v>31</v>
      </c>
      <c r="N203" s="29">
        <f>IF(Table2[[#This Row],[impressions]]=0,0,Table2[[#This Row],[spend_inr]]/Table2[[#This Row],[impressions]]*1000)</f>
        <v>73.074992541111627</v>
      </c>
      <c r="O203" s="31">
        <f>IF(Table2[[#This Row],[impressions]]=0,0,Table2[[#This Row],[clicks]]/Table2[[#This Row],[impressions]])</f>
        <v>1.5654890398216888E-2</v>
      </c>
      <c r="P203" s="32">
        <f>IF(Table2[[#This Row],[clicks]]=0,0,Table2[[#This Row],[spend_inr]]/Table2[[#This Row],[clicks]])</f>
        <v>4.6678699551569505</v>
      </c>
      <c r="Q203" s="31">
        <f>IF(Table2[[#This Row],[clicks]]=0,0,Table2[[#This Row],[conversions]]/Table2[[#This Row],[clicks]])</f>
        <v>2.0179372197309416E-2</v>
      </c>
      <c r="R203" s="30">
        <f>IF(Table2[[#This Row],[spend_inr]]=0,0,(Table2[[#This Row],[revenue_inr]]-Table2[[#This Row],[spend_inr]])/Table2[[#This Row],[spend_inr]])</f>
        <v>3.4390379802773472</v>
      </c>
      <c r="S203" s="31">
        <f>IF(Table2[[#This Row],[impressions]]=0,0,(Table2[[#This Row],[likes]]+Table2[[#This Row],[comments]]+Table2[[#This Row],[shares]])/Table2[[#This Row],[impressions]])</f>
        <v>8.2662033380719209E-3</v>
      </c>
      <c r="T203" s="27"/>
    </row>
    <row r="204" spans="1:20" ht="15.75">
      <c r="A204" s="23" t="s">
        <v>42</v>
      </c>
      <c r="B204" s="20" t="s">
        <v>38</v>
      </c>
      <c r="C204" s="20" t="s">
        <v>49</v>
      </c>
      <c r="D204" s="20" t="s">
        <v>46</v>
      </c>
      <c r="E204" s="20" t="s">
        <v>50</v>
      </c>
      <c r="F204" s="20">
        <v>10925</v>
      </c>
      <c r="G204" s="20">
        <v>87</v>
      </c>
      <c r="H204" s="20">
        <v>2</v>
      </c>
      <c r="I204" s="20">
        <v>4155.63</v>
      </c>
      <c r="J204" s="20">
        <v>1302.97</v>
      </c>
      <c r="K204" s="20">
        <v>37</v>
      </c>
      <c r="L204" s="20">
        <v>1</v>
      </c>
      <c r="M204" s="20">
        <v>2</v>
      </c>
      <c r="N204" s="29">
        <f>IF(Table2[[#This Row],[impressions]]=0,0,Table2[[#This Row],[spend_inr]]/Table2[[#This Row],[impressions]]*1000)</f>
        <v>380.37803203661332</v>
      </c>
      <c r="O204" s="31">
        <f>IF(Table2[[#This Row],[impressions]]=0,0,Table2[[#This Row],[clicks]]/Table2[[#This Row],[impressions]])</f>
        <v>7.9633867276887871E-3</v>
      </c>
      <c r="P204" s="32">
        <f>IF(Table2[[#This Row],[clicks]]=0,0,Table2[[#This Row],[spend_inr]]/Table2[[#This Row],[clicks]])</f>
        <v>47.765862068965518</v>
      </c>
      <c r="Q204" s="31">
        <f>IF(Table2[[#This Row],[clicks]]=0,0,Table2[[#This Row],[conversions]]/Table2[[#This Row],[clicks]])</f>
        <v>2.2988505747126436E-2</v>
      </c>
      <c r="R204" s="30">
        <f>IF(Table2[[#This Row],[spend_inr]]=0,0,(Table2[[#This Row],[revenue_inr]]-Table2[[#This Row],[spend_inr]])/Table2[[#This Row],[spend_inr]])</f>
        <v>-0.68645668647112468</v>
      </c>
      <c r="S204" s="31">
        <f>IF(Table2[[#This Row],[impressions]]=0,0,(Table2[[#This Row],[likes]]+Table2[[#This Row],[comments]]+Table2[[#This Row],[shares]])/Table2[[#This Row],[impressions]])</f>
        <v>3.6613272311212816E-3</v>
      </c>
      <c r="T204" s="27"/>
    </row>
    <row r="205" spans="1:20" ht="15.75">
      <c r="A205" s="23" t="s">
        <v>51</v>
      </c>
      <c r="B205" s="20" t="s">
        <v>38</v>
      </c>
      <c r="C205" s="20" t="s">
        <v>49</v>
      </c>
      <c r="D205" s="20" t="s">
        <v>40</v>
      </c>
      <c r="E205" s="20" t="s">
        <v>50</v>
      </c>
      <c r="F205" s="20">
        <v>15231</v>
      </c>
      <c r="G205" s="20">
        <v>239</v>
      </c>
      <c r="H205" s="20">
        <v>4</v>
      </c>
      <c r="I205" s="20">
        <v>4103.6899999999996</v>
      </c>
      <c r="J205" s="20">
        <v>0</v>
      </c>
      <c r="K205" s="20">
        <v>74</v>
      </c>
      <c r="L205" s="20">
        <v>7</v>
      </c>
      <c r="M205" s="20">
        <v>4</v>
      </c>
      <c r="N205" s="29">
        <f>IF(Table2[[#This Row],[impressions]]=0,0,Table2[[#This Row],[spend_inr]]/Table2[[#This Row],[impressions]]*1000)</f>
        <v>269.43010964480334</v>
      </c>
      <c r="O205" s="31">
        <f>IF(Table2[[#This Row],[impressions]]=0,0,Table2[[#This Row],[clicks]]/Table2[[#This Row],[impressions]])</f>
        <v>1.5691681439170112E-2</v>
      </c>
      <c r="P205" s="32">
        <f>IF(Table2[[#This Row],[clicks]]=0,0,Table2[[#This Row],[spend_inr]]/Table2[[#This Row],[clicks]])</f>
        <v>17.170251046025104</v>
      </c>
      <c r="Q205" s="31">
        <f>IF(Table2[[#This Row],[clicks]]=0,0,Table2[[#This Row],[conversions]]/Table2[[#This Row],[clicks]])</f>
        <v>1.6736401673640166E-2</v>
      </c>
      <c r="R205" s="30">
        <f>IF(Table2[[#This Row],[spend_inr]]=0,0,(Table2[[#This Row],[revenue_inr]]-Table2[[#This Row],[spend_inr]])/Table2[[#This Row],[spend_inr]])</f>
        <v>-1</v>
      </c>
      <c r="S205" s="31">
        <f>IF(Table2[[#This Row],[impressions]]=0,0,(Table2[[#This Row],[likes]]+Table2[[#This Row],[comments]]+Table2[[#This Row],[shares]])/Table2[[#This Row],[impressions]])</f>
        <v>5.5807235243910446E-3</v>
      </c>
      <c r="T205" s="27"/>
    </row>
    <row r="206" spans="1:20" ht="15.75">
      <c r="A206" s="23" t="s">
        <v>42</v>
      </c>
      <c r="B206" s="20" t="s">
        <v>43</v>
      </c>
      <c r="C206" s="20" t="s">
        <v>45</v>
      </c>
      <c r="D206" s="20" t="s">
        <v>40</v>
      </c>
      <c r="E206" s="20" t="s">
        <v>50</v>
      </c>
      <c r="F206" s="20">
        <v>51090</v>
      </c>
      <c r="G206" s="20">
        <v>122</v>
      </c>
      <c r="H206" s="20">
        <v>2</v>
      </c>
      <c r="I206" s="20">
        <v>4082.78</v>
      </c>
      <c r="J206" s="20">
        <v>2799.39</v>
      </c>
      <c r="K206" s="20">
        <v>43</v>
      </c>
      <c r="L206" s="20">
        <v>2</v>
      </c>
      <c r="M206" s="20">
        <v>3</v>
      </c>
      <c r="N206" s="29">
        <f>IF(Table2[[#This Row],[impressions]]=0,0,Table2[[#This Row],[spend_inr]]/Table2[[#This Row],[impressions]]*1000)</f>
        <v>79.913486005089055</v>
      </c>
      <c r="O206" s="31">
        <f>IF(Table2[[#This Row],[impressions]]=0,0,Table2[[#This Row],[clicks]]/Table2[[#This Row],[impressions]])</f>
        <v>2.3879428459581131E-3</v>
      </c>
      <c r="P206" s="32">
        <f>IF(Table2[[#This Row],[clicks]]=0,0,Table2[[#This Row],[spend_inr]]/Table2[[#This Row],[clicks]])</f>
        <v>33.465409836065575</v>
      </c>
      <c r="Q206" s="31">
        <f>IF(Table2[[#This Row],[clicks]]=0,0,Table2[[#This Row],[conversions]]/Table2[[#This Row],[clicks]])</f>
        <v>1.6393442622950821E-2</v>
      </c>
      <c r="R206" s="30">
        <f>IF(Table2[[#This Row],[spend_inr]]=0,0,(Table2[[#This Row],[revenue_inr]]-Table2[[#This Row],[spend_inr]])/Table2[[#This Row],[spend_inr]])</f>
        <v>-0.31434218841083778</v>
      </c>
      <c r="S206" s="31">
        <f>IF(Table2[[#This Row],[impressions]]=0,0,(Table2[[#This Row],[likes]]+Table2[[#This Row],[comments]]+Table2[[#This Row],[shares]])/Table2[[#This Row],[impressions]])</f>
        <v>9.3951849677040517E-4</v>
      </c>
      <c r="T206" s="27"/>
    </row>
    <row r="207" spans="1:20" ht="15.75">
      <c r="A207" s="23" t="s">
        <v>42</v>
      </c>
      <c r="B207" s="20" t="s">
        <v>44</v>
      </c>
      <c r="C207" s="20" t="s">
        <v>45</v>
      </c>
      <c r="D207" s="20" t="s">
        <v>46</v>
      </c>
      <c r="E207" s="20" t="s">
        <v>50</v>
      </c>
      <c r="F207" s="20">
        <v>59759</v>
      </c>
      <c r="G207" s="20">
        <v>547</v>
      </c>
      <c r="H207" s="20">
        <v>11</v>
      </c>
      <c r="I207" s="20">
        <v>4070.73</v>
      </c>
      <c r="J207" s="20">
        <v>7644.28</v>
      </c>
      <c r="K207" s="20">
        <v>202</v>
      </c>
      <c r="L207" s="20">
        <v>13</v>
      </c>
      <c r="M207" s="20">
        <v>12</v>
      </c>
      <c r="N207" s="29">
        <f>IF(Table2[[#This Row],[impressions]]=0,0,Table2[[#This Row],[spend_inr]]/Table2[[#This Row],[impressions]]*1000)</f>
        <v>68.119111765591796</v>
      </c>
      <c r="O207" s="31">
        <f>IF(Table2[[#This Row],[impressions]]=0,0,Table2[[#This Row],[clicks]]/Table2[[#This Row],[impressions]])</f>
        <v>9.1534329557054171E-3</v>
      </c>
      <c r="P207" s="32">
        <f>IF(Table2[[#This Row],[clicks]]=0,0,Table2[[#This Row],[spend_inr]]/Table2[[#This Row],[clicks]])</f>
        <v>7.4419195612431448</v>
      </c>
      <c r="Q207" s="31">
        <f>IF(Table2[[#This Row],[clicks]]=0,0,Table2[[#This Row],[conversions]]/Table2[[#This Row],[clicks]])</f>
        <v>2.0109689213893969E-2</v>
      </c>
      <c r="R207" s="30">
        <f>IF(Table2[[#This Row],[spend_inr]]=0,0,(Table2[[#This Row],[revenue_inr]]-Table2[[#This Row],[spend_inr]])/Table2[[#This Row],[spend_inr]])</f>
        <v>0.87786465818170201</v>
      </c>
      <c r="S207" s="31">
        <f>IF(Table2[[#This Row],[impressions]]=0,0,(Table2[[#This Row],[likes]]+Table2[[#This Row],[comments]]+Table2[[#This Row],[shares]])/Table2[[#This Row],[impressions]])</f>
        <v>3.7985910072123028E-3</v>
      </c>
      <c r="T207" s="27"/>
    </row>
    <row r="208" spans="1:20" ht="15.75">
      <c r="A208" s="23" t="s">
        <v>51</v>
      </c>
      <c r="B208" s="20" t="s">
        <v>43</v>
      </c>
      <c r="C208" s="20" t="s">
        <v>39</v>
      </c>
      <c r="D208" s="20" t="s">
        <v>46</v>
      </c>
      <c r="E208" s="20" t="s">
        <v>50</v>
      </c>
      <c r="F208" s="20">
        <v>76535</v>
      </c>
      <c r="G208" s="20">
        <v>1006</v>
      </c>
      <c r="H208" s="20">
        <v>9</v>
      </c>
      <c r="I208" s="20">
        <v>4044.64</v>
      </c>
      <c r="J208" s="20">
        <v>7213.38</v>
      </c>
      <c r="K208" s="20">
        <v>360</v>
      </c>
      <c r="L208" s="20">
        <v>39</v>
      </c>
      <c r="M208" s="20">
        <v>29</v>
      </c>
      <c r="N208" s="29">
        <f>IF(Table2[[#This Row],[impressions]]=0,0,Table2[[#This Row],[spend_inr]]/Table2[[#This Row],[impressions]]*1000)</f>
        <v>52.846932775854185</v>
      </c>
      <c r="O208" s="31">
        <f>IF(Table2[[#This Row],[impressions]]=0,0,Table2[[#This Row],[clicks]]/Table2[[#This Row],[impressions]])</f>
        <v>1.3144313059384596E-2</v>
      </c>
      <c r="P208" s="32">
        <f>IF(Table2[[#This Row],[clicks]]=0,0,Table2[[#This Row],[spend_inr]]/Table2[[#This Row],[clicks]])</f>
        <v>4.0205168986083502</v>
      </c>
      <c r="Q208" s="31">
        <f>IF(Table2[[#This Row],[clicks]]=0,0,Table2[[#This Row],[conversions]]/Table2[[#This Row],[clicks]])</f>
        <v>8.9463220675944331E-3</v>
      </c>
      <c r="R208" s="30">
        <f>IF(Table2[[#This Row],[spend_inr]]=0,0,(Table2[[#This Row],[revenue_inr]]-Table2[[#This Row],[spend_inr]])/Table2[[#This Row],[spend_inr]])</f>
        <v>0.78344178962775435</v>
      </c>
      <c r="S208" s="31">
        <f>IF(Table2[[#This Row],[impressions]]=0,0,(Table2[[#This Row],[likes]]+Table2[[#This Row],[comments]]+Table2[[#This Row],[shares]])/Table2[[#This Row],[impressions]])</f>
        <v>5.5922127131377798E-3</v>
      </c>
      <c r="T208" s="27"/>
    </row>
    <row r="209" spans="1:20" ht="15.75">
      <c r="A209" s="23" t="s">
        <v>51</v>
      </c>
      <c r="B209" s="20" t="s">
        <v>44</v>
      </c>
      <c r="C209" s="20" t="s">
        <v>45</v>
      </c>
      <c r="D209" s="20" t="s">
        <v>46</v>
      </c>
      <c r="E209" s="20" t="s">
        <v>50</v>
      </c>
      <c r="F209" s="20">
        <v>47004</v>
      </c>
      <c r="G209" s="20">
        <v>567</v>
      </c>
      <c r="H209" s="20">
        <v>5</v>
      </c>
      <c r="I209" s="20">
        <v>4017.77</v>
      </c>
      <c r="J209" s="20">
        <v>7192.57</v>
      </c>
      <c r="K209" s="20">
        <v>250</v>
      </c>
      <c r="L209" s="20">
        <v>17</v>
      </c>
      <c r="M209" s="20">
        <v>7</v>
      </c>
      <c r="N209" s="29">
        <f>IF(Table2[[#This Row],[impressions]]=0,0,Table2[[#This Row],[spend_inr]]/Table2[[#This Row],[impressions]]*1000)</f>
        <v>85.477193430346347</v>
      </c>
      <c r="O209" s="31">
        <f>IF(Table2[[#This Row],[impressions]]=0,0,Table2[[#This Row],[clicks]]/Table2[[#This Row],[impressions]])</f>
        <v>1.2062803165688026E-2</v>
      </c>
      <c r="P209" s="32">
        <f>IF(Table2[[#This Row],[clicks]]=0,0,Table2[[#This Row],[spend_inr]]/Table2[[#This Row],[clicks]])</f>
        <v>7.0860141093474427</v>
      </c>
      <c r="Q209" s="31">
        <f>IF(Table2[[#This Row],[clicks]]=0,0,Table2[[#This Row],[conversions]]/Table2[[#This Row],[clicks]])</f>
        <v>8.8183421516754845E-3</v>
      </c>
      <c r="R209" s="30">
        <f>IF(Table2[[#This Row],[spend_inr]]=0,0,(Table2[[#This Row],[revenue_inr]]-Table2[[#This Row],[spend_inr]])/Table2[[#This Row],[spend_inr]])</f>
        <v>0.79018958277850637</v>
      </c>
      <c r="S209" s="31">
        <f>IF(Table2[[#This Row],[impressions]]=0,0,(Table2[[#This Row],[likes]]+Table2[[#This Row],[comments]]+Table2[[#This Row],[shares]])/Table2[[#This Row],[impressions]])</f>
        <v>5.8292911241596456E-3</v>
      </c>
      <c r="T209" s="27"/>
    </row>
    <row r="210" spans="1:20" ht="15.75">
      <c r="A210" s="23" t="s">
        <v>42</v>
      </c>
      <c r="B210" s="20" t="s">
        <v>44</v>
      </c>
      <c r="C210" s="20" t="s">
        <v>45</v>
      </c>
      <c r="D210" s="20" t="s">
        <v>40</v>
      </c>
      <c r="E210" s="20" t="s">
        <v>41</v>
      </c>
      <c r="F210" s="20">
        <v>29498</v>
      </c>
      <c r="G210" s="20">
        <v>295</v>
      </c>
      <c r="H210" s="20">
        <v>5</v>
      </c>
      <c r="I210" s="20">
        <v>3973.39</v>
      </c>
      <c r="J210" s="20">
        <v>7365.26</v>
      </c>
      <c r="K210" s="20">
        <v>100</v>
      </c>
      <c r="L210" s="20">
        <v>11</v>
      </c>
      <c r="M210" s="20">
        <v>6</v>
      </c>
      <c r="N210" s="29">
        <f>IF(Table2[[#This Row],[impressions]]=0,0,Table2[[#This Row],[spend_inr]]/Table2[[#This Row],[impressions]]*1000)</f>
        <v>134.70031866567226</v>
      </c>
      <c r="O210" s="31">
        <f>IF(Table2[[#This Row],[impressions]]=0,0,Table2[[#This Row],[clicks]]/Table2[[#This Row],[impressions]])</f>
        <v>1.0000678012068614E-2</v>
      </c>
      <c r="P210" s="32">
        <f>IF(Table2[[#This Row],[clicks]]=0,0,Table2[[#This Row],[spend_inr]]/Table2[[#This Row],[clicks]])</f>
        <v>13.469118644067796</v>
      </c>
      <c r="Q210" s="31">
        <f>IF(Table2[[#This Row],[clicks]]=0,0,Table2[[#This Row],[conversions]]/Table2[[#This Row],[clicks]])</f>
        <v>1.6949152542372881E-2</v>
      </c>
      <c r="R210" s="30">
        <f>IF(Table2[[#This Row],[spend_inr]]=0,0,(Table2[[#This Row],[revenue_inr]]-Table2[[#This Row],[spend_inr]])/Table2[[#This Row],[spend_inr]])</f>
        <v>0.85364638255998038</v>
      </c>
      <c r="S210" s="31">
        <f>IF(Table2[[#This Row],[impressions]]=0,0,(Table2[[#This Row],[likes]]+Table2[[#This Row],[comments]]+Table2[[#This Row],[shares]])/Table2[[#This Row],[impressions]])</f>
        <v>3.9663706013967044E-3</v>
      </c>
      <c r="T210" s="27"/>
    </row>
    <row r="211" spans="1:20" ht="15.75">
      <c r="A211" s="23" t="s">
        <v>37</v>
      </c>
      <c r="B211" s="20" t="s">
        <v>44</v>
      </c>
      <c r="C211" s="20" t="s">
        <v>39</v>
      </c>
      <c r="D211" s="20" t="s">
        <v>40</v>
      </c>
      <c r="E211" s="20" t="s">
        <v>50</v>
      </c>
      <c r="F211" s="20">
        <v>19247</v>
      </c>
      <c r="G211" s="20">
        <v>265</v>
      </c>
      <c r="H211" s="20">
        <v>4</v>
      </c>
      <c r="I211" s="20">
        <v>3953.63</v>
      </c>
      <c r="J211" s="20">
        <v>5729.21</v>
      </c>
      <c r="K211" s="20">
        <v>127</v>
      </c>
      <c r="L211" s="20">
        <v>7</v>
      </c>
      <c r="M211" s="20">
        <v>5</v>
      </c>
      <c r="N211" s="29">
        <f>IF(Table2[[#This Row],[impressions]]=0,0,Table2[[#This Row],[spend_inr]]/Table2[[#This Row],[impressions]]*1000)</f>
        <v>205.41538941133683</v>
      </c>
      <c r="O211" s="31">
        <f>IF(Table2[[#This Row],[impressions]]=0,0,Table2[[#This Row],[clicks]]/Table2[[#This Row],[impressions]])</f>
        <v>1.3768379487712371E-2</v>
      </c>
      <c r="P211" s="32">
        <f>IF(Table2[[#This Row],[clicks]]=0,0,Table2[[#This Row],[spend_inr]]/Table2[[#This Row],[clicks]])</f>
        <v>14.919358490566038</v>
      </c>
      <c r="Q211" s="31">
        <f>IF(Table2[[#This Row],[clicks]]=0,0,Table2[[#This Row],[conversions]]/Table2[[#This Row],[clicks]])</f>
        <v>1.509433962264151E-2</v>
      </c>
      <c r="R211" s="30">
        <f>IF(Table2[[#This Row],[spend_inr]]=0,0,(Table2[[#This Row],[revenue_inr]]-Table2[[#This Row],[spend_inr]])/Table2[[#This Row],[spend_inr]])</f>
        <v>0.44910120572739481</v>
      </c>
      <c r="S211" s="31">
        <f>IF(Table2[[#This Row],[impressions]]=0,0,(Table2[[#This Row],[likes]]+Table2[[#This Row],[comments]]+Table2[[#This Row],[shares]])/Table2[[#This Row],[impressions]])</f>
        <v>7.2219047124227149E-3</v>
      </c>
      <c r="T211" s="27"/>
    </row>
    <row r="212" spans="1:20" ht="15.75">
      <c r="A212" s="23" t="s">
        <v>51</v>
      </c>
      <c r="B212" s="20" t="s">
        <v>44</v>
      </c>
      <c r="C212" s="20" t="s">
        <v>45</v>
      </c>
      <c r="D212" s="20" t="s">
        <v>40</v>
      </c>
      <c r="E212" s="20" t="s">
        <v>50</v>
      </c>
      <c r="F212" s="20">
        <v>66295</v>
      </c>
      <c r="G212" s="20">
        <v>591</v>
      </c>
      <c r="H212" s="20">
        <v>16</v>
      </c>
      <c r="I212" s="20">
        <v>3866.21</v>
      </c>
      <c r="J212" s="20">
        <v>18403.7</v>
      </c>
      <c r="K212" s="20">
        <v>236</v>
      </c>
      <c r="L212" s="20">
        <v>22</v>
      </c>
      <c r="M212" s="20">
        <v>18</v>
      </c>
      <c r="N212" s="29">
        <f>IF(Table2[[#This Row],[impressions]]=0,0,Table2[[#This Row],[spend_inr]]/Table2[[#This Row],[impressions]]*1000)</f>
        <v>58.31827437966664</v>
      </c>
      <c r="O212" s="31">
        <f>IF(Table2[[#This Row],[impressions]]=0,0,Table2[[#This Row],[clicks]]/Table2[[#This Row],[impressions]])</f>
        <v>8.914699449430576E-3</v>
      </c>
      <c r="P212" s="32">
        <f>IF(Table2[[#This Row],[clicks]]=0,0,Table2[[#This Row],[spend_inr]]/Table2[[#This Row],[clicks]])</f>
        <v>6.5418104906937398</v>
      </c>
      <c r="Q212" s="31">
        <f>IF(Table2[[#This Row],[clicks]]=0,0,Table2[[#This Row],[conversions]]/Table2[[#This Row],[clicks]])</f>
        <v>2.7072758037225041E-2</v>
      </c>
      <c r="R212" s="30">
        <f>IF(Table2[[#This Row],[spend_inr]]=0,0,(Table2[[#This Row],[revenue_inr]]-Table2[[#This Row],[spend_inr]])/Table2[[#This Row],[spend_inr]])</f>
        <v>3.7601397751286147</v>
      </c>
      <c r="S212" s="31">
        <f>IF(Table2[[#This Row],[impressions]]=0,0,(Table2[[#This Row],[likes]]+Table2[[#This Row],[comments]]+Table2[[#This Row],[shares]])/Table2[[#This Row],[impressions]])</f>
        <v>4.1632098951655478E-3</v>
      </c>
      <c r="T212" s="27"/>
    </row>
    <row r="213" spans="1:20" ht="15.75">
      <c r="A213" s="23" t="s">
        <v>42</v>
      </c>
      <c r="B213" s="20" t="s">
        <v>44</v>
      </c>
      <c r="C213" s="20" t="s">
        <v>55</v>
      </c>
      <c r="D213" s="20" t="s">
        <v>46</v>
      </c>
      <c r="E213" s="20" t="s">
        <v>50</v>
      </c>
      <c r="F213" s="20">
        <v>61807</v>
      </c>
      <c r="G213" s="20">
        <v>666</v>
      </c>
      <c r="H213" s="20">
        <v>19</v>
      </c>
      <c r="I213" s="20">
        <v>3839.42</v>
      </c>
      <c r="J213" s="20">
        <v>19541.22</v>
      </c>
      <c r="K213" s="20">
        <v>224</v>
      </c>
      <c r="L213" s="20">
        <v>35</v>
      </c>
      <c r="M213" s="20">
        <v>25</v>
      </c>
      <c r="N213" s="29">
        <f>IF(Table2[[#This Row],[impressions]]=0,0,Table2[[#This Row],[spend_inr]]/Table2[[#This Row],[impressions]]*1000)</f>
        <v>62.119501027391721</v>
      </c>
      <c r="O213" s="31">
        <f>IF(Table2[[#This Row],[impressions]]=0,0,Table2[[#This Row],[clicks]]/Table2[[#This Row],[impressions]])</f>
        <v>1.0775478505670878E-2</v>
      </c>
      <c r="P213" s="32">
        <f>IF(Table2[[#This Row],[clicks]]=0,0,Table2[[#This Row],[spend_inr]]/Table2[[#This Row],[clicks]])</f>
        <v>5.764894894894895</v>
      </c>
      <c r="Q213" s="31">
        <f>IF(Table2[[#This Row],[clicks]]=0,0,Table2[[#This Row],[conversions]]/Table2[[#This Row],[clicks]])</f>
        <v>2.8528528528528527E-2</v>
      </c>
      <c r="R213" s="30">
        <f>IF(Table2[[#This Row],[spend_inr]]=0,0,(Table2[[#This Row],[revenue_inr]]-Table2[[#This Row],[spend_inr]])/Table2[[#This Row],[spend_inr]])</f>
        <v>4.0896281209140968</v>
      </c>
      <c r="S213" s="31">
        <f>IF(Table2[[#This Row],[impressions]]=0,0,(Table2[[#This Row],[likes]]+Table2[[#This Row],[comments]]+Table2[[#This Row],[shares]])/Table2[[#This Row],[impressions]])</f>
        <v>4.5949487922080021E-3</v>
      </c>
      <c r="T213" s="27"/>
    </row>
    <row r="214" spans="1:20" ht="15.75">
      <c r="A214" s="23" t="s">
        <v>42</v>
      </c>
      <c r="B214" s="20" t="s">
        <v>44</v>
      </c>
      <c r="C214" s="20" t="s">
        <v>39</v>
      </c>
      <c r="D214" s="20" t="s">
        <v>40</v>
      </c>
      <c r="E214" s="20" t="s">
        <v>47</v>
      </c>
      <c r="F214" s="20">
        <v>28810</v>
      </c>
      <c r="G214" s="20">
        <v>177</v>
      </c>
      <c r="H214" s="20">
        <v>2</v>
      </c>
      <c r="I214" s="20">
        <v>3835.51</v>
      </c>
      <c r="J214" s="20">
        <v>2115.16</v>
      </c>
      <c r="K214" s="20">
        <v>73</v>
      </c>
      <c r="L214" s="20">
        <v>6</v>
      </c>
      <c r="M214" s="20">
        <v>3</v>
      </c>
      <c r="N214" s="29">
        <f>IF(Table2[[#This Row],[impressions]]=0,0,Table2[[#This Row],[spend_inr]]/Table2[[#This Row],[impressions]]*1000)</f>
        <v>133.13120444290178</v>
      </c>
      <c r="O214" s="31">
        <f>IF(Table2[[#This Row],[impressions]]=0,0,Table2[[#This Row],[clicks]]/Table2[[#This Row],[impressions]])</f>
        <v>6.14370010413051E-3</v>
      </c>
      <c r="P214" s="32">
        <f>IF(Table2[[#This Row],[clicks]]=0,0,Table2[[#This Row],[spend_inr]]/Table2[[#This Row],[clicks]])</f>
        <v>21.669548022598871</v>
      </c>
      <c r="Q214" s="31">
        <f>IF(Table2[[#This Row],[clicks]]=0,0,Table2[[#This Row],[conversions]]/Table2[[#This Row],[clicks]])</f>
        <v>1.1299435028248588E-2</v>
      </c>
      <c r="R214" s="30">
        <f>IF(Table2[[#This Row],[spend_inr]]=0,0,(Table2[[#This Row],[revenue_inr]]-Table2[[#This Row],[spend_inr]])/Table2[[#This Row],[spend_inr]])</f>
        <v>-0.44853226819901404</v>
      </c>
      <c r="S214" s="31">
        <f>IF(Table2[[#This Row],[impressions]]=0,0,(Table2[[#This Row],[likes]]+Table2[[#This Row],[comments]]+Table2[[#This Row],[shares]])/Table2[[#This Row],[impressions]])</f>
        <v>2.8462339465463379E-3</v>
      </c>
      <c r="T214" s="27"/>
    </row>
    <row r="215" spans="1:20" ht="15.75">
      <c r="A215" s="23" t="s">
        <v>42</v>
      </c>
      <c r="B215" s="20" t="s">
        <v>38</v>
      </c>
      <c r="C215" s="20" t="s">
        <v>54</v>
      </c>
      <c r="D215" s="20" t="s">
        <v>46</v>
      </c>
      <c r="E215" s="20" t="s">
        <v>41</v>
      </c>
      <c r="F215" s="20">
        <v>14380</v>
      </c>
      <c r="G215" s="20">
        <v>153</v>
      </c>
      <c r="H215" s="20">
        <v>3</v>
      </c>
      <c r="I215" s="20">
        <v>3832</v>
      </c>
      <c r="J215" s="20">
        <v>4146.3</v>
      </c>
      <c r="K215" s="20">
        <v>75</v>
      </c>
      <c r="L215" s="20">
        <v>4</v>
      </c>
      <c r="M215" s="20">
        <v>2</v>
      </c>
      <c r="N215" s="29">
        <f>IF(Table2[[#This Row],[impressions]]=0,0,Table2[[#This Row],[spend_inr]]/Table2[[#This Row],[impressions]]*1000)</f>
        <v>266.48122392211405</v>
      </c>
      <c r="O215" s="31">
        <f>IF(Table2[[#This Row],[impressions]]=0,0,Table2[[#This Row],[clicks]]/Table2[[#This Row],[impressions]])</f>
        <v>1.0639777468706537E-2</v>
      </c>
      <c r="P215" s="32">
        <f>IF(Table2[[#This Row],[clicks]]=0,0,Table2[[#This Row],[spend_inr]]/Table2[[#This Row],[clicks]])</f>
        <v>25.045751633986928</v>
      </c>
      <c r="Q215" s="31">
        <f>IF(Table2[[#This Row],[clicks]]=0,0,Table2[[#This Row],[conversions]]/Table2[[#This Row],[clicks]])</f>
        <v>1.9607843137254902E-2</v>
      </c>
      <c r="R215" s="30">
        <f>IF(Table2[[#This Row],[spend_inr]]=0,0,(Table2[[#This Row],[revenue_inr]]-Table2[[#This Row],[spend_inr]])/Table2[[#This Row],[spend_inr]])</f>
        <v>8.2019832985386273E-2</v>
      </c>
      <c r="S215" s="31">
        <f>IF(Table2[[#This Row],[impressions]]=0,0,(Table2[[#This Row],[likes]]+Table2[[#This Row],[comments]]+Table2[[#This Row],[shares]])/Table2[[#This Row],[impressions]])</f>
        <v>5.6328233657858134E-3</v>
      </c>
      <c r="T215" s="27"/>
    </row>
    <row r="216" spans="1:20" ht="15.75">
      <c r="A216" s="23" t="s">
        <v>37</v>
      </c>
      <c r="B216" s="20" t="s">
        <v>38</v>
      </c>
      <c r="C216" s="20" t="s">
        <v>39</v>
      </c>
      <c r="D216" s="20" t="s">
        <v>40</v>
      </c>
      <c r="E216" s="20" t="s">
        <v>50</v>
      </c>
      <c r="F216" s="20">
        <v>16462</v>
      </c>
      <c r="G216" s="20">
        <v>302</v>
      </c>
      <c r="H216" s="20">
        <v>9</v>
      </c>
      <c r="I216" s="20">
        <v>3785.43</v>
      </c>
      <c r="J216" s="20">
        <v>5685.98</v>
      </c>
      <c r="K216" s="20">
        <v>99</v>
      </c>
      <c r="L216" s="20">
        <v>15</v>
      </c>
      <c r="M216" s="20">
        <v>11</v>
      </c>
      <c r="N216" s="29">
        <f>IF(Table2[[#This Row],[impressions]]=0,0,Table2[[#This Row],[spend_inr]]/Table2[[#This Row],[impressions]]*1000)</f>
        <v>229.94958085287328</v>
      </c>
      <c r="O216" s="31">
        <f>IF(Table2[[#This Row],[impressions]]=0,0,Table2[[#This Row],[clicks]]/Table2[[#This Row],[impressions]])</f>
        <v>1.8345280038877414E-2</v>
      </c>
      <c r="P216" s="32">
        <f>IF(Table2[[#This Row],[clicks]]=0,0,Table2[[#This Row],[spend_inr]]/Table2[[#This Row],[clicks]])</f>
        <v>12.534536423841059</v>
      </c>
      <c r="Q216" s="31">
        <f>IF(Table2[[#This Row],[clicks]]=0,0,Table2[[#This Row],[conversions]]/Table2[[#This Row],[clicks]])</f>
        <v>2.9801324503311258E-2</v>
      </c>
      <c r="R216" s="30">
        <f>IF(Table2[[#This Row],[spend_inr]]=0,0,(Table2[[#This Row],[revenue_inr]]-Table2[[#This Row],[spend_inr]])/Table2[[#This Row],[spend_inr]])</f>
        <v>0.50206977807012676</v>
      </c>
      <c r="S216" s="31">
        <f>IF(Table2[[#This Row],[impressions]]=0,0,(Table2[[#This Row],[likes]]+Table2[[#This Row],[comments]]+Table2[[#This Row],[shares]])/Table2[[#This Row],[impressions]])</f>
        <v>7.5932450492042277E-3</v>
      </c>
      <c r="T216" s="27"/>
    </row>
    <row r="217" spans="1:20" ht="15.75">
      <c r="A217" s="23" t="s">
        <v>52</v>
      </c>
      <c r="B217" s="20" t="s">
        <v>43</v>
      </c>
      <c r="C217" s="20" t="s">
        <v>54</v>
      </c>
      <c r="D217" s="20" t="s">
        <v>46</v>
      </c>
      <c r="E217" s="20" t="s">
        <v>53</v>
      </c>
      <c r="F217" s="20">
        <v>79925</v>
      </c>
      <c r="G217" s="20">
        <v>0</v>
      </c>
      <c r="H217" s="20">
        <v>133</v>
      </c>
      <c r="I217" s="20">
        <v>3773.87</v>
      </c>
      <c r="J217" s="20">
        <v>97186.78</v>
      </c>
      <c r="K217" s="20">
        <v>0</v>
      </c>
      <c r="L217" s="20">
        <v>0</v>
      </c>
      <c r="M217" s="20">
        <v>0</v>
      </c>
      <c r="N217" s="29">
        <f>IF(Table2[[#This Row],[impressions]]=0,0,Table2[[#This Row],[spend_inr]]/Table2[[#This Row],[impressions]]*1000)</f>
        <v>47.217641538942758</v>
      </c>
      <c r="O217" s="31">
        <f>IF(Table2[[#This Row],[impressions]]=0,0,Table2[[#This Row],[clicks]]/Table2[[#This Row],[impressions]])</f>
        <v>0</v>
      </c>
      <c r="P217" s="32">
        <f>IF(Table2[[#This Row],[clicks]]=0,0,Table2[[#This Row],[spend_inr]]/Table2[[#This Row],[clicks]])</f>
        <v>0</v>
      </c>
      <c r="Q217" s="31">
        <f>IF(Table2[[#This Row],[clicks]]=0,0,Table2[[#This Row],[conversions]]/Table2[[#This Row],[clicks]])</f>
        <v>0</v>
      </c>
      <c r="R217" s="30">
        <f>IF(Table2[[#This Row],[spend_inr]]=0,0,(Table2[[#This Row],[revenue_inr]]-Table2[[#This Row],[spend_inr]])/Table2[[#This Row],[spend_inr]])</f>
        <v>24.752551094764794</v>
      </c>
      <c r="S217" s="31">
        <f>IF(Table2[[#This Row],[impressions]]=0,0,(Table2[[#This Row],[likes]]+Table2[[#This Row],[comments]]+Table2[[#This Row],[shares]])/Table2[[#This Row],[impressions]])</f>
        <v>0</v>
      </c>
      <c r="T217" s="27"/>
    </row>
    <row r="218" spans="1:20" ht="15.75">
      <c r="A218" s="23" t="s">
        <v>42</v>
      </c>
      <c r="B218" s="20" t="s">
        <v>43</v>
      </c>
      <c r="C218" s="20" t="s">
        <v>55</v>
      </c>
      <c r="D218" s="20" t="s">
        <v>46</v>
      </c>
      <c r="E218" s="20" t="s">
        <v>47</v>
      </c>
      <c r="F218" s="20">
        <v>42207</v>
      </c>
      <c r="G218" s="20">
        <v>213</v>
      </c>
      <c r="H218" s="20">
        <v>2</v>
      </c>
      <c r="I218" s="20">
        <v>3742.15</v>
      </c>
      <c r="J218" s="20">
        <v>2649.83</v>
      </c>
      <c r="K218" s="20">
        <v>99</v>
      </c>
      <c r="L218" s="20">
        <v>5</v>
      </c>
      <c r="M218" s="20">
        <v>3</v>
      </c>
      <c r="N218" s="29">
        <f>IF(Table2[[#This Row],[impressions]]=0,0,Table2[[#This Row],[spend_inr]]/Table2[[#This Row],[impressions]]*1000)</f>
        <v>88.661833345179716</v>
      </c>
      <c r="O218" s="31">
        <f>IF(Table2[[#This Row],[impressions]]=0,0,Table2[[#This Row],[clicks]]/Table2[[#This Row],[impressions]])</f>
        <v>5.0465562584405431E-3</v>
      </c>
      <c r="P218" s="32">
        <f>IF(Table2[[#This Row],[clicks]]=0,0,Table2[[#This Row],[spend_inr]]/Table2[[#This Row],[clicks]])</f>
        <v>17.568779342723005</v>
      </c>
      <c r="Q218" s="31">
        <f>IF(Table2[[#This Row],[clicks]]=0,0,Table2[[#This Row],[conversions]]/Table2[[#This Row],[clicks]])</f>
        <v>9.3896713615023476E-3</v>
      </c>
      <c r="R218" s="30">
        <f>IF(Table2[[#This Row],[spend_inr]]=0,0,(Table2[[#This Row],[revenue_inr]]-Table2[[#This Row],[spend_inr]])/Table2[[#This Row],[spend_inr]])</f>
        <v>-0.29189636973397648</v>
      </c>
      <c r="S218" s="31">
        <f>IF(Table2[[#This Row],[impressions]]=0,0,(Table2[[#This Row],[likes]]+Table2[[#This Row],[comments]]+Table2[[#This Row],[shares]])/Table2[[#This Row],[impressions]])</f>
        <v>2.5351245054137939E-3</v>
      </c>
      <c r="T218" s="27"/>
    </row>
    <row r="219" spans="1:20" ht="15.75">
      <c r="A219" s="23" t="s">
        <v>51</v>
      </c>
      <c r="B219" s="20" t="s">
        <v>38</v>
      </c>
      <c r="C219" s="20" t="s">
        <v>49</v>
      </c>
      <c r="D219" s="20" t="s">
        <v>40</v>
      </c>
      <c r="E219" s="20" t="s">
        <v>50</v>
      </c>
      <c r="F219" s="20">
        <v>11833</v>
      </c>
      <c r="G219" s="20">
        <v>94</v>
      </c>
      <c r="H219" s="20">
        <v>1</v>
      </c>
      <c r="I219" s="20">
        <v>3694.49</v>
      </c>
      <c r="J219" s="20">
        <v>843.06</v>
      </c>
      <c r="K219" s="20">
        <v>33</v>
      </c>
      <c r="L219" s="20">
        <v>2</v>
      </c>
      <c r="M219" s="20">
        <v>2</v>
      </c>
      <c r="N219" s="29">
        <f>IF(Table2[[#This Row],[impressions]]=0,0,Table2[[#This Row],[spend_inr]]/Table2[[#This Row],[impressions]]*1000)</f>
        <v>312.21921744274482</v>
      </c>
      <c r="O219" s="31">
        <f>IF(Table2[[#This Row],[impressions]]=0,0,Table2[[#This Row],[clicks]]/Table2[[#This Row],[impressions]])</f>
        <v>7.9438857432603729E-3</v>
      </c>
      <c r="P219" s="32">
        <f>IF(Table2[[#This Row],[clicks]]=0,0,Table2[[#This Row],[spend_inr]]/Table2[[#This Row],[clicks]])</f>
        <v>39.303085106382973</v>
      </c>
      <c r="Q219" s="31">
        <f>IF(Table2[[#This Row],[clicks]]=0,0,Table2[[#This Row],[conversions]]/Table2[[#This Row],[clicks]])</f>
        <v>1.0638297872340425E-2</v>
      </c>
      <c r="R219" s="30">
        <f>IF(Table2[[#This Row],[spend_inr]]=0,0,(Table2[[#This Row],[revenue_inr]]-Table2[[#This Row],[spend_inr]])/Table2[[#This Row],[spend_inr]])</f>
        <v>-0.77180612208992305</v>
      </c>
      <c r="S219" s="31">
        <f>IF(Table2[[#This Row],[impressions]]=0,0,(Table2[[#This Row],[likes]]+Table2[[#This Row],[comments]]+Table2[[#This Row],[shares]])/Table2[[#This Row],[impressions]])</f>
        <v>3.1268486436237639E-3</v>
      </c>
      <c r="T219" s="27"/>
    </row>
    <row r="220" spans="1:20" ht="15.75">
      <c r="A220" s="23" t="s">
        <v>52</v>
      </c>
      <c r="B220" s="20" t="s">
        <v>44</v>
      </c>
      <c r="C220" s="20" t="s">
        <v>55</v>
      </c>
      <c r="D220" s="20" t="s">
        <v>46</v>
      </c>
      <c r="E220" s="20" t="s">
        <v>56</v>
      </c>
      <c r="F220" s="20">
        <v>41985</v>
      </c>
      <c r="G220" s="20">
        <v>712</v>
      </c>
      <c r="H220" s="20">
        <v>28</v>
      </c>
      <c r="I220" s="20">
        <v>3683.79</v>
      </c>
      <c r="J220" s="20">
        <v>27543.13</v>
      </c>
      <c r="K220" s="20">
        <v>0</v>
      </c>
      <c r="L220" s="20">
        <v>0</v>
      </c>
      <c r="M220" s="20">
        <v>0</v>
      </c>
      <c r="N220" s="29">
        <f>IF(Table2[[#This Row],[impressions]]=0,0,Table2[[#This Row],[spend_inr]]/Table2[[#This Row],[impressions]]*1000)</f>
        <v>87.740621650589489</v>
      </c>
      <c r="O220" s="31">
        <f>IF(Table2[[#This Row],[impressions]]=0,0,Table2[[#This Row],[clicks]]/Table2[[#This Row],[impressions]])</f>
        <v>1.6958437537215671E-2</v>
      </c>
      <c r="P220" s="32">
        <f>IF(Table2[[#This Row],[clicks]]=0,0,Table2[[#This Row],[spend_inr]]/Table2[[#This Row],[clicks]])</f>
        <v>5.1738623595505615</v>
      </c>
      <c r="Q220" s="31">
        <f>IF(Table2[[#This Row],[clicks]]=0,0,Table2[[#This Row],[conversions]]/Table2[[#This Row],[clicks]])</f>
        <v>3.9325842696629212E-2</v>
      </c>
      <c r="R220" s="30">
        <f>IF(Table2[[#This Row],[spend_inr]]=0,0,(Table2[[#This Row],[revenue_inr]]-Table2[[#This Row],[spend_inr]])/Table2[[#This Row],[spend_inr]])</f>
        <v>6.4768458571199767</v>
      </c>
      <c r="S220" s="31">
        <f>IF(Table2[[#This Row],[impressions]]=0,0,(Table2[[#This Row],[likes]]+Table2[[#This Row],[comments]]+Table2[[#This Row],[shares]])/Table2[[#This Row],[impressions]])</f>
        <v>0</v>
      </c>
      <c r="T220" s="27"/>
    </row>
    <row r="221" spans="1:20" ht="15.75">
      <c r="A221" s="23" t="s">
        <v>52</v>
      </c>
      <c r="B221" s="20" t="s">
        <v>44</v>
      </c>
      <c r="C221" s="20" t="s">
        <v>49</v>
      </c>
      <c r="D221" s="20" t="s">
        <v>46</v>
      </c>
      <c r="E221" s="20" t="s">
        <v>56</v>
      </c>
      <c r="F221" s="20">
        <v>31232</v>
      </c>
      <c r="G221" s="20">
        <v>922</v>
      </c>
      <c r="H221" s="20">
        <v>29</v>
      </c>
      <c r="I221" s="20">
        <v>3681.35</v>
      </c>
      <c r="J221" s="20">
        <v>20744.48</v>
      </c>
      <c r="K221" s="20">
        <v>0</v>
      </c>
      <c r="L221" s="20">
        <v>0</v>
      </c>
      <c r="M221" s="20">
        <v>0</v>
      </c>
      <c r="N221" s="29">
        <f>IF(Table2[[#This Row],[impressions]]=0,0,Table2[[#This Row],[spend_inr]]/Table2[[#This Row],[impressions]]*1000)</f>
        <v>117.87109375</v>
      </c>
      <c r="O221" s="31">
        <f>IF(Table2[[#This Row],[impressions]]=0,0,Table2[[#This Row],[clicks]]/Table2[[#This Row],[impressions]])</f>
        <v>2.9521004098360656E-2</v>
      </c>
      <c r="P221" s="32">
        <f>IF(Table2[[#This Row],[clicks]]=0,0,Table2[[#This Row],[spend_inr]]/Table2[[#This Row],[clicks]])</f>
        <v>3.9927874186550976</v>
      </c>
      <c r="Q221" s="31">
        <f>IF(Table2[[#This Row],[clicks]]=0,0,Table2[[#This Row],[conversions]]/Table2[[#This Row],[clicks]])</f>
        <v>3.1453362255965296E-2</v>
      </c>
      <c r="R221" s="30">
        <f>IF(Table2[[#This Row],[spend_inr]]=0,0,(Table2[[#This Row],[revenue_inr]]-Table2[[#This Row],[spend_inr]])/Table2[[#This Row],[spend_inr]])</f>
        <v>4.6350197617721767</v>
      </c>
      <c r="S221" s="31">
        <f>IF(Table2[[#This Row],[impressions]]=0,0,(Table2[[#This Row],[likes]]+Table2[[#This Row],[comments]]+Table2[[#This Row],[shares]])/Table2[[#This Row],[impressions]])</f>
        <v>0</v>
      </c>
      <c r="T221" s="27"/>
    </row>
    <row r="222" spans="1:20" ht="15.75">
      <c r="A222" s="23" t="s">
        <v>42</v>
      </c>
      <c r="B222" s="20" t="s">
        <v>44</v>
      </c>
      <c r="C222" s="20" t="s">
        <v>54</v>
      </c>
      <c r="D222" s="20" t="s">
        <v>46</v>
      </c>
      <c r="E222" s="20" t="s">
        <v>50</v>
      </c>
      <c r="F222" s="20">
        <v>19143</v>
      </c>
      <c r="G222" s="20">
        <v>208</v>
      </c>
      <c r="H222" s="20">
        <v>6</v>
      </c>
      <c r="I222" s="20">
        <v>3656.98</v>
      </c>
      <c r="J222" s="20">
        <v>7237.99</v>
      </c>
      <c r="K222" s="20">
        <v>97</v>
      </c>
      <c r="L222" s="20">
        <v>8</v>
      </c>
      <c r="M222" s="20">
        <v>4</v>
      </c>
      <c r="N222" s="29">
        <f>IF(Table2[[#This Row],[impressions]]=0,0,Table2[[#This Row],[spend_inr]]/Table2[[#This Row],[impressions]]*1000)</f>
        <v>191.03484302355952</v>
      </c>
      <c r="O222" s="31">
        <f>IF(Table2[[#This Row],[impressions]]=0,0,Table2[[#This Row],[clicks]]/Table2[[#This Row],[impressions]])</f>
        <v>1.0865590555294364E-2</v>
      </c>
      <c r="P222" s="32">
        <f>IF(Table2[[#This Row],[clicks]]=0,0,Table2[[#This Row],[spend_inr]]/Table2[[#This Row],[clicks]])</f>
        <v>17.581634615384615</v>
      </c>
      <c r="Q222" s="31">
        <f>IF(Table2[[#This Row],[clicks]]=0,0,Table2[[#This Row],[conversions]]/Table2[[#This Row],[clicks]])</f>
        <v>2.8846153846153848E-2</v>
      </c>
      <c r="R222" s="30">
        <f>IF(Table2[[#This Row],[spend_inr]]=0,0,(Table2[[#This Row],[revenue_inr]]-Table2[[#This Row],[spend_inr]])/Table2[[#This Row],[spend_inr]])</f>
        <v>0.97922602803406078</v>
      </c>
      <c r="S222" s="31">
        <f>IF(Table2[[#This Row],[impressions]]=0,0,(Table2[[#This Row],[likes]]+Table2[[#This Row],[comments]]+Table2[[#This Row],[shares]])/Table2[[#This Row],[impressions]])</f>
        <v>5.6939873583032961E-3</v>
      </c>
      <c r="T222" s="27"/>
    </row>
    <row r="223" spans="1:20" ht="15.75">
      <c r="A223" s="23" t="s">
        <v>42</v>
      </c>
      <c r="B223" s="20" t="s">
        <v>43</v>
      </c>
      <c r="C223" s="20" t="s">
        <v>45</v>
      </c>
      <c r="D223" s="20" t="s">
        <v>40</v>
      </c>
      <c r="E223" s="20" t="s">
        <v>47</v>
      </c>
      <c r="F223" s="20">
        <v>43530</v>
      </c>
      <c r="G223" s="20">
        <v>226</v>
      </c>
      <c r="H223" s="20">
        <v>5</v>
      </c>
      <c r="I223" s="20">
        <v>3595.96</v>
      </c>
      <c r="J223" s="20">
        <v>6154.93</v>
      </c>
      <c r="K223" s="20">
        <v>97</v>
      </c>
      <c r="L223" s="20">
        <v>6</v>
      </c>
      <c r="M223" s="20">
        <v>3</v>
      </c>
      <c r="N223" s="29">
        <f>IF(Table2[[#This Row],[impressions]]=0,0,Table2[[#This Row],[spend_inr]]/Table2[[#This Row],[impressions]]*1000)</f>
        <v>82.608775557087071</v>
      </c>
      <c r="O223" s="31">
        <f>IF(Table2[[#This Row],[impressions]]=0,0,Table2[[#This Row],[clicks]]/Table2[[#This Row],[impressions]])</f>
        <v>5.1918217321387551E-3</v>
      </c>
      <c r="P223" s="32">
        <f>IF(Table2[[#This Row],[clicks]]=0,0,Table2[[#This Row],[spend_inr]]/Table2[[#This Row],[clicks]])</f>
        <v>15.911327433628319</v>
      </c>
      <c r="Q223" s="31">
        <f>IF(Table2[[#This Row],[clicks]]=0,0,Table2[[#This Row],[conversions]]/Table2[[#This Row],[clicks]])</f>
        <v>2.2123893805309734E-2</v>
      </c>
      <c r="R223" s="30">
        <f>IF(Table2[[#This Row],[spend_inr]]=0,0,(Table2[[#This Row],[revenue_inr]]-Table2[[#This Row],[spend_inr]])/Table2[[#This Row],[spend_inr]])</f>
        <v>0.71162359981757317</v>
      </c>
      <c r="S223" s="31">
        <f>IF(Table2[[#This Row],[impressions]]=0,0,(Table2[[#This Row],[likes]]+Table2[[#This Row],[comments]]+Table2[[#This Row],[shares]])/Table2[[#This Row],[impressions]])</f>
        <v>2.4351022283482654E-3</v>
      </c>
      <c r="T223" s="27"/>
    </row>
    <row r="224" spans="1:20" ht="15.75">
      <c r="A224" s="23" t="s">
        <v>37</v>
      </c>
      <c r="B224" s="20" t="s">
        <v>43</v>
      </c>
      <c r="C224" s="20" t="s">
        <v>39</v>
      </c>
      <c r="D224" s="20" t="s">
        <v>40</v>
      </c>
      <c r="E224" s="20" t="s">
        <v>47</v>
      </c>
      <c r="F224" s="20">
        <v>11543</v>
      </c>
      <c r="G224" s="20">
        <v>116</v>
      </c>
      <c r="H224" s="20">
        <v>0</v>
      </c>
      <c r="I224" s="20">
        <v>3584.52</v>
      </c>
      <c r="J224" s="20">
        <v>2097.7600000000002</v>
      </c>
      <c r="K224" s="20">
        <v>39</v>
      </c>
      <c r="L224" s="20">
        <v>5</v>
      </c>
      <c r="M224" s="20">
        <v>2</v>
      </c>
      <c r="N224" s="29">
        <f>IF(Table2[[#This Row],[impressions]]=0,0,Table2[[#This Row],[spend_inr]]/Table2[[#This Row],[impressions]]*1000)</f>
        <v>310.53625573940917</v>
      </c>
      <c r="O224" s="31">
        <f>IF(Table2[[#This Row],[impressions]]=0,0,Table2[[#This Row],[clicks]]/Table2[[#This Row],[impressions]])</f>
        <v>1.0049380576973058E-2</v>
      </c>
      <c r="P224" s="32">
        <f>IF(Table2[[#This Row],[clicks]]=0,0,Table2[[#This Row],[spend_inr]]/Table2[[#This Row],[clicks]])</f>
        <v>30.901034482758622</v>
      </c>
      <c r="Q224" s="31">
        <f>IF(Table2[[#This Row],[clicks]]=0,0,Table2[[#This Row],[conversions]]/Table2[[#This Row],[clicks]])</f>
        <v>0</v>
      </c>
      <c r="R224" s="30">
        <f>IF(Table2[[#This Row],[spend_inr]]=0,0,(Table2[[#This Row],[revenue_inr]]-Table2[[#This Row],[spend_inr]])/Table2[[#This Row],[spend_inr]])</f>
        <v>-0.41477241025297662</v>
      </c>
      <c r="S224" s="31">
        <f>IF(Table2[[#This Row],[impressions]]=0,0,(Table2[[#This Row],[likes]]+Table2[[#This Row],[comments]]+Table2[[#This Row],[shares]])/Table2[[#This Row],[impressions]])</f>
        <v>3.9850991943169017E-3</v>
      </c>
      <c r="T224" s="27"/>
    </row>
    <row r="225" spans="1:20" ht="15.75">
      <c r="A225" s="23" t="s">
        <v>42</v>
      </c>
      <c r="B225" s="20" t="s">
        <v>43</v>
      </c>
      <c r="C225" s="20" t="s">
        <v>39</v>
      </c>
      <c r="D225" s="20" t="s">
        <v>46</v>
      </c>
      <c r="E225" s="20" t="s">
        <v>41</v>
      </c>
      <c r="F225" s="20">
        <v>24021</v>
      </c>
      <c r="G225" s="20">
        <v>289</v>
      </c>
      <c r="H225" s="20">
        <v>6</v>
      </c>
      <c r="I225" s="20">
        <v>3562.39</v>
      </c>
      <c r="J225" s="20">
        <v>6354.34</v>
      </c>
      <c r="K225" s="20">
        <v>96</v>
      </c>
      <c r="L225" s="20">
        <v>12</v>
      </c>
      <c r="M225" s="20">
        <v>10</v>
      </c>
      <c r="N225" s="29">
        <f>IF(Table2[[#This Row],[impressions]]=0,0,Table2[[#This Row],[spend_inr]]/Table2[[#This Row],[impressions]]*1000)</f>
        <v>148.30315140918361</v>
      </c>
      <c r="O225" s="31">
        <f>IF(Table2[[#This Row],[impressions]]=0,0,Table2[[#This Row],[clicks]]/Table2[[#This Row],[impressions]])</f>
        <v>1.2031139419674451E-2</v>
      </c>
      <c r="P225" s="32">
        <f>IF(Table2[[#This Row],[clicks]]=0,0,Table2[[#This Row],[spend_inr]]/Table2[[#This Row],[clicks]])</f>
        <v>12.326608996539791</v>
      </c>
      <c r="Q225" s="31">
        <f>IF(Table2[[#This Row],[clicks]]=0,0,Table2[[#This Row],[conversions]]/Table2[[#This Row],[clicks]])</f>
        <v>2.0761245674740483E-2</v>
      </c>
      <c r="R225" s="30">
        <f>IF(Table2[[#This Row],[spend_inr]]=0,0,(Table2[[#This Row],[revenue_inr]]-Table2[[#This Row],[spend_inr]])/Table2[[#This Row],[spend_inr]])</f>
        <v>0.78372946252375519</v>
      </c>
      <c r="S225" s="31">
        <f>IF(Table2[[#This Row],[impressions]]=0,0,(Table2[[#This Row],[likes]]+Table2[[#This Row],[comments]]+Table2[[#This Row],[shares]])/Table2[[#This Row],[impressions]])</f>
        <v>4.9123683443653473E-3</v>
      </c>
      <c r="T225" s="27"/>
    </row>
    <row r="226" spans="1:20" ht="15.75">
      <c r="A226" s="23" t="s">
        <v>37</v>
      </c>
      <c r="B226" s="20" t="s">
        <v>44</v>
      </c>
      <c r="C226" s="20" t="s">
        <v>45</v>
      </c>
      <c r="D226" s="20" t="s">
        <v>46</v>
      </c>
      <c r="E226" s="20" t="s">
        <v>47</v>
      </c>
      <c r="F226" s="20">
        <v>79086</v>
      </c>
      <c r="G226" s="20">
        <v>1123</v>
      </c>
      <c r="H226" s="20">
        <v>19</v>
      </c>
      <c r="I226" s="20">
        <v>3537.3</v>
      </c>
      <c r="J226" s="20">
        <v>16264.68</v>
      </c>
      <c r="K226" s="20">
        <v>515</v>
      </c>
      <c r="L226" s="20">
        <v>62</v>
      </c>
      <c r="M226" s="20">
        <v>40</v>
      </c>
      <c r="N226" s="29">
        <f>IF(Table2[[#This Row],[impressions]]=0,0,Table2[[#This Row],[spend_inr]]/Table2[[#This Row],[impressions]]*1000)</f>
        <v>44.727258933313109</v>
      </c>
      <c r="O226" s="31">
        <f>IF(Table2[[#This Row],[impressions]]=0,0,Table2[[#This Row],[clicks]]/Table2[[#This Row],[impressions]])</f>
        <v>1.419973193738462E-2</v>
      </c>
      <c r="P226" s="32">
        <f>IF(Table2[[#This Row],[clicks]]=0,0,Table2[[#This Row],[spend_inr]]/Table2[[#This Row],[clicks]])</f>
        <v>3.1498664292074801</v>
      </c>
      <c r="Q226" s="31">
        <f>IF(Table2[[#This Row],[clicks]]=0,0,Table2[[#This Row],[conversions]]/Table2[[#This Row],[clicks]])</f>
        <v>1.6918967052537846E-2</v>
      </c>
      <c r="R226" s="30">
        <f>IF(Table2[[#This Row],[spend_inr]]=0,0,(Table2[[#This Row],[revenue_inr]]-Table2[[#This Row],[spend_inr]])/Table2[[#This Row],[spend_inr]])</f>
        <v>3.5980493596811129</v>
      </c>
      <c r="S226" s="31">
        <f>IF(Table2[[#This Row],[impressions]]=0,0,(Table2[[#This Row],[likes]]+Table2[[#This Row],[comments]]+Table2[[#This Row],[shares]])/Table2[[#This Row],[impressions]])</f>
        <v>7.8016336646182637E-3</v>
      </c>
      <c r="T226" s="27"/>
    </row>
    <row r="227" spans="1:20" ht="15.75">
      <c r="A227" s="23" t="s">
        <v>37</v>
      </c>
      <c r="B227" s="20" t="s">
        <v>48</v>
      </c>
      <c r="C227" s="20" t="s">
        <v>49</v>
      </c>
      <c r="D227" s="20" t="s">
        <v>40</v>
      </c>
      <c r="E227" s="20" t="s">
        <v>41</v>
      </c>
      <c r="F227" s="20">
        <v>62576</v>
      </c>
      <c r="G227" s="20">
        <v>760</v>
      </c>
      <c r="H227" s="20">
        <v>20</v>
      </c>
      <c r="I227" s="20">
        <v>3531.39</v>
      </c>
      <c r="J227" s="20">
        <v>24892.06</v>
      </c>
      <c r="K227" s="20">
        <v>299</v>
      </c>
      <c r="L227" s="20">
        <v>33</v>
      </c>
      <c r="M227" s="20">
        <v>10</v>
      </c>
      <c r="N227" s="29">
        <f>IF(Table2[[#This Row],[impressions]]=0,0,Table2[[#This Row],[spend_inr]]/Table2[[#This Row],[impressions]]*1000)</f>
        <v>56.43361672206597</v>
      </c>
      <c r="O227" s="31">
        <f>IF(Table2[[#This Row],[impressions]]=0,0,Table2[[#This Row],[clicks]]/Table2[[#This Row],[impressions]])</f>
        <v>1.2145231398619279E-2</v>
      </c>
      <c r="P227" s="32">
        <f>IF(Table2[[#This Row],[clicks]]=0,0,Table2[[#This Row],[spend_inr]]/Table2[[#This Row],[clicks]])</f>
        <v>4.6465657894736845</v>
      </c>
      <c r="Q227" s="31">
        <f>IF(Table2[[#This Row],[clicks]]=0,0,Table2[[#This Row],[conversions]]/Table2[[#This Row],[clicks]])</f>
        <v>2.6315789473684209E-2</v>
      </c>
      <c r="R227" s="30">
        <f>IF(Table2[[#This Row],[spend_inr]]=0,0,(Table2[[#This Row],[revenue_inr]]-Table2[[#This Row],[spend_inr]])/Table2[[#This Row],[spend_inr]])</f>
        <v>6.0487994812241084</v>
      </c>
      <c r="S227" s="31">
        <f>IF(Table2[[#This Row],[impressions]]=0,0,(Table2[[#This Row],[likes]]+Table2[[#This Row],[comments]]+Table2[[#This Row],[shares]])/Table2[[#This Row],[impressions]])</f>
        <v>5.4653541293786757E-3</v>
      </c>
      <c r="T227" s="27"/>
    </row>
    <row r="228" spans="1:20" ht="15.75">
      <c r="A228" s="23" t="s">
        <v>42</v>
      </c>
      <c r="B228" s="20" t="s">
        <v>48</v>
      </c>
      <c r="C228" s="20" t="s">
        <v>39</v>
      </c>
      <c r="D228" s="20" t="s">
        <v>40</v>
      </c>
      <c r="E228" s="20" t="s">
        <v>50</v>
      </c>
      <c r="F228" s="20">
        <v>68028</v>
      </c>
      <c r="G228" s="20">
        <v>704</v>
      </c>
      <c r="H228" s="20">
        <v>18</v>
      </c>
      <c r="I228" s="20">
        <v>3505.76</v>
      </c>
      <c r="J228" s="20">
        <v>24608.66</v>
      </c>
      <c r="K228" s="20">
        <v>238</v>
      </c>
      <c r="L228" s="20">
        <v>20</v>
      </c>
      <c r="M228" s="20">
        <v>15</v>
      </c>
      <c r="N228" s="29">
        <f>IF(Table2[[#This Row],[impressions]]=0,0,Table2[[#This Row],[spend_inr]]/Table2[[#This Row],[impressions]]*1000)</f>
        <v>51.534074204739234</v>
      </c>
      <c r="O228" s="31">
        <f>IF(Table2[[#This Row],[impressions]]=0,0,Table2[[#This Row],[clicks]]/Table2[[#This Row],[impressions]])</f>
        <v>1.0348679955312518E-2</v>
      </c>
      <c r="P228" s="32">
        <f>IF(Table2[[#This Row],[clicks]]=0,0,Table2[[#This Row],[spend_inr]]/Table2[[#This Row],[clicks]])</f>
        <v>4.9797727272727279</v>
      </c>
      <c r="Q228" s="31">
        <f>IF(Table2[[#This Row],[clicks]]=0,0,Table2[[#This Row],[conversions]]/Table2[[#This Row],[clicks]])</f>
        <v>2.556818181818182E-2</v>
      </c>
      <c r="R228" s="30">
        <f>IF(Table2[[#This Row],[spend_inr]]=0,0,(Table2[[#This Row],[revenue_inr]]-Table2[[#This Row],[spend_inr]])/Table2[[#This Row],[spend_inr]])</f>
        <v>6.0194936333348545</v>
      </c>
      <c r="S228" s="31">
        <f>IF(Table2[[#This Row],[impressions]]=0,0,(Table2[[#This Row],[likes]]+Table2[[#This Row],[comments]]+Table2[[#This Row],[shares]])/Table2[[#This Row],[impressions]])</f>
        <v>4.0130534485799969E-3</v>
      </c>
      <c r="T228" s="27"/>
    </row>
    <row r="229" spans="1:20" ht="15.75">
      <c r="A229" s="23" t="s">
        <v>42</v>
      </c>
      <c r="B229" s="20" t="s">
        <v>48</v>
      </c>
      <c r="C229" s="20" t="s">
        <v>39</v>
      </c>
      <c r="D229" s="20" t="s">
        <v>46</v>
      </c>
      <c r="E229" s="20" t="s">
        <v>47</v>
      </c>
      <c r="F229" s="20">
        <v>29996</v>
      </c>
      <c r="G229" s="20">
        <v>305</v>
      </c>
      <c r="H229" s="20">
        <v>5</v>
      </c>
      <c r="I229" s="20">
        <v>3455.49</v>
      </c>
      <c r="J229" s="20">
        <v>2789.75</v>
      </c>
      <c r="K229" s="20">
        <v>107</v>
      </c>
      <c r="L229" s="20">
        <v>12</v>
      </c>
      <c r="M229" s="20">
        <v>12</v>
      </c>
      <c r="N229" s="29">
        <f>IF(Table2[[#This Row],[impressions]]=0,0,Table2[[#This Row],[spend_inr]]/Table2[[#This Row],[impressions]]*1000)</f>
        <v>115.19835978130416</v>
      </c>
      <c r="O229" s="31">
        <f>IF(Table2[[#This Row],[impressions]]=0,0,Table2[[#This Row],[clicks]]/Table2[[#This Row],[impressions]])</f>
        <v>1.0168022402987064E-2</v>
      </c>
      <c r="P229" s="32">
        <f>IF(Table2[[#This Row],[clicks]]=0,0,Table2[[#This Row],[spend_inr]]/Table2[[#This Row],[clicks]])</f>
        <v>11.329475409836064</v>
      </c>
      <c r="Q229" s="31">
        <f>IF(Table2[[#This Row],[clicks]]=0,0,Table2[[#This Row],[conversions]]/Table2[[#This Row],[clicks]])</f>
        <v>1.6393442622950821E-2</v>
      </c>
      <c r="R229" s="30">
        <f>IF(Table2[[#This Row],[spend_inr]]=0,0,(Table2[[#This Row],[revenue_inr]]-Table2[[#This Row],[spend_inr]])/Table2[[#This Row],[spend_inr]])</f>
        <v>-0.19266153280721399</v>
      </c>
      <c r="S229" s="31">
        <f>IF(Table2[[#This Row],[impressions]]=0,0,(Table2[[#This Row],[likes]]+Table2[[#This Row],[comments]]+Table2[[#This Row],[shares]])/Table2[[#This Row],[impressions]])</f>
        <v>4.3672489665288706E-3</v>
      </c>
      <c r="T229" s="27"/>
    </row>
    <row r="230" spans="1:20" ht="15.75">
      <c r="A230" s="23" t="s">
        <v>37</v>
      </c>
      <c r="B230" s="20" t="s">
        <v>38</v>
      </c>
      <c r="C230" s="20" t="s">
        <v>39</v>
      </c>
      <c r="D230" s="20" t="s">
        <v>40</v>
      </c>
      <c r="E230" s="20" t="s">
        <v>50</v>
      </c>
      <c r="F230" s="20">
        <v>13994</v>
      </c>
      <c r="G230" s="20">
        <v>259</v>
      </c>
      <c r="H230" s="20">
        <v>2</v>
      </c>
      <c r="I230" s="20">
        <v>3425.53</v>
      </c>
      <c r="J230" s="20">
        <v>1491.86</v>
      </c>
      <c r="K230" s="20">
        <v>129</v>
      </c>
      <c r="L230" s="20">
        <v>11</v>
      </c>
      <c r="M230" s="20">
        <v>6</v>
      </c>
      <c r="N230" s="29">
        <f>IF(Table2[[#This Row],[impressions]]=0,0,Table2[[#This Row],[spend_inr]]/Table2[[#This Row],[impressions]]*1000)</f>
        <v>244.78562240960414</v>
      </c>
      <c r="O230" s="31">
        <f>IF(Table2[[#This Row],[impressions]]=0,0,Table2[[#This Row],[clicks]]/Table2[[#This Row],[impressions]])</f>
        <v>1.8507931970844646E-2</v>
      </c>
      <c r="P230" s="32">
        <f>IF(Table2[[#This Row],[clicks]]=0,0,Table2[[#This Row],[spend_inr]]/Table2[[#This Row],[clicks]])</f>
        <v>13.225984555984557</v>
      </c>
      <c r="Q230" s="31">
        <f>IF(Table2[[#This Row],[clicks]]=0,0,Table2[[#This Row],[conversions]]/Table2[[#This Row],[clicks]])</f>
        <v>7.7220077220077222E-3</v>
      </c>
      <c r="R230" s="30">
        <f>IF(Table2[[#This Row],[spend_inr]]=0,0,(Table2[[#This Row],[revenue_inr]]-Table2[[#This Row],[spend_inr]])/Table2[[#This Row],[spend_inr]])</f>
        <v>-0.5644878310801541</v>
      </c>
      <c r="S230" s="31">
        <f>IF(Table2[[#This Row],[impressions]]=0,0,(Table2[[#This Row],[likes]]+Table2[[#This Row],[comments]]+Table2[[#This Row],[shares]])/Table2[[#This Row],[impressions]])</f>
        <v>1.0433042732599686E-2</v>
      </c>
      <c r="T230" s="27"/>
    </row>
    <row r="231" spans="1:20" ht="15.75">
      <c r="A231" s="23" t="s">
        <v>51</v>
      </c>
      <c r="B231" s="20" t="s">
        <v>38</v>
      </c>
      <c r="C231" s="20" t="s">
        <v>39</v>
      </c>
      <c r="D231" s="20" t="s">
        <v>46</v>
      </c>
      <c r="E231" s="20" t="s">
        <v>50</v>
      </c>
      <c r="F231" s="20">
        <v>62678</v>
      </c>
      <c r="G231" s="20">
        <v>614</v>
      </c>
      <c r="H231" s="20">
        <v>5</v>
      </c>
      <c r="I231" s="20">
        <v>3425.21</v>
      </c>
      <c r="J231" s="20">
        <v>3223.64</v>
      </c>
      <c r="K231" s="20">
        <v>261</v>
      </c>
      <c r="L231" s="20">
        <v>27</v>
      </c>
      <c r="M231" s="20">
        <v>15</v>
      </c>
      <c r="N231" s="29">
        <f>IF(Table2[[#This Row],[impressions]]=0,0,Table2[[#This Row],[spend_inr]]/Table2[[#This Row],[impressions]]*1000)</f>
        <v>54.647723284086922</v>
      </c>
      <c r="O231" s="31">
        <f>IF(Table2[[#This Row],[impressions]]=0,0,Table2[[#This Row],[clicks]]/Table2[[#This Row],[impressions]])</f>
        <v>9.7961007051916137E-3</v>
      </c>
      <c r="P231" s="32">
        <f>IF(Table2[[#This Row],[clicks]]=0,0,Table2[[#This Row],[spend_inr]]/Table2[[#This Row],[clicks]])</f>
        <v>5.5785179153094466</v>
      </c>
      <c r="Q231" s="31">
        <f>IF(Table2[[#This Row],[clicks]]=0,0,Table2[[#This Row],[conversions]]/Table2[[#This Row],[clicks]])</f>
        <v>8.1433224755700327E-3</v>
      </c>
      <c r="R231" s="30">
        <f>IF(Table2[[#This Row],[spend_inr]]=0,0,(Table2[[#This Row],[revenue_inr]]-Table2[[#This Row],[spend_inr]])/Table2[[#This Row],[spend_inr]])</f>
        <v>-5.8848946487952608E-2</v>
      </c>
      <c r="S231" s="31">
        <f>IF(Table2[[#This Row],[impressions]]=0,0,(Table2[[#This Row],[likes]]+Table2[[#This Row],[comments]]+Table2[[#This Row],[shares]])/Table2[[#This Row],[impressions]])</f>
        <v>4.8342321069593797E-3</v>
      </c>
      <c r="T231" s="27"/>
    </row>
    <row r="232" spans="1:20" ht="15.75">
      <c r="A232" s="23" t="s">
        <v>42</v>
      </c>
      <c r="B232" s="20" t="s">
        <v>38</v>
      </c>
      <c r="C232" s="20" t="s">
        <v>49</v>
      </c>
      <c r="D232" s="20" t="s">
        <v>46</v>
      </c>
      <c r="E232" s="20" t="s">
        <v>47</v>
      </c>
      <c r="F232" s="20">
        <v>57579</v>
      </c>
      <c r="G232" s="20">
        <v>553</v>
      </c>
      <c r="H232" s="20">
        <v>10</v>
      </c>
      <c r="I232" s="20">
        <v>3398.17</v>
      </c>
      <c r="J232" s="20">
        <v>6070.15</v>
      </c>
      <c r="K232" s="20">
        <v>255</v>
      </c>
      <c r="L232" s="20">
        <v>28</v>
      </c>
      <c r="M232" s="20">
        <v>6</v>
      </c>
      <c r="N232" s="29">
        <f>IF(Table2[[#This Row],[impressions]]=0,0,Table2[[#This Row],[spend_inr]]/Table2[[#This Row],[impressions]]*1000)</f>
        <v>59.017523749978288</v>
      </c>
      <c r="O232" s="31">
        <f>IF(Table2[[#This Row],[impressions]]=0,0,Table2[[#This Row],[clicks]]/Table2[[#This Row],[impressions]])</f>
        <v>9.6041959742267143E-3</v>
      </c>
      <c r="P232" s="32">
        <f>IF(Table2[[#This Row],[clicks]]=0,0,Table2[[#This Row],[spend_inr]]/Table2[[#This Row],[clicks]])</f>
        <v>6.1449728752260402</v>
      </c>
      <c r="Q232" s="31">
        <f>IF(Table2[[#This Row],[clicks]]=0,0,Table2[[#This Row],[conversions]]/Table2[[#This Row],[clicks]])</f>
        <v>1.8083182640144666E-2</v>
      </c>
      <c r="R232" s="30">
        <f>IF(Table2[[#This Row],[spend_inr]]=0,0,(Table2[[#This Row],[revenue_inr]]-Table2[[#This Row],[spend_inr]])/Table2[[#This Row],[spend_inr]])</f>
        <v>0.78629968483036439</v>
      </c>
      <c r="S232" s="31">
        <f>IF(Table2[[#This Row],[impressions]]=0,0,(Table2[[#This Row],[likes]]+Table2[[#This Row],[comments]]+Table2[[#This Row],[shares]])/Table2[[#This Row],[impressions]])</f>
        <v>5.019191024505462E-3</v>
      </c>
      <c r="T232" s="27"/>
    </row>
    <row r="233" spans="1:20" ht="15.75">
      <c r="A233" s="23" t="s">
        <v>52</v>
      </c>
      <c r="B233" s="20" t="s">
        <v>48</v>
      </c>
      <c r="C233" s="20" t="s">
        <v>49</v>
      </c>
      <c r="D233" s="20" t="s">
        <v>46</v>
      </c>
      <c r="E233" s="20" t="s">
        <v>53</v>
      </c>
      <c r="F233" s="20">
        <v>35004</v>
      </c>
      <c r="G233" s="20">
        <v>1356</v>
      </c>
      <c r="H233" s="20">
        <v>29</v>
      </c>
      <c r="I233" s="20">
        <v>3393.55</v>
      </c>
      <c r="J233" s="20">
        <v>41558.75</v>
      </c>
      <c r="K233" s="20">
        <v>0</v>
      </c>
      <c r="L233" s="20">
        <v>0</v>
      </c>
      <c r="M233" s="20">
        <v>0</v>
      </c>
      <c r="N233" s="29">
        <f>IF(Table2[[#This Row],[impressions]]=0,0,Table2[[#This Row],[spend_inr]]/Table2[[#This Row],[impressions]]*1000)</f>
        <v>96.947491715232545</v>
      </c>
      <c r="O233" s="31">
        <f>IF(Table2[[#This Row],[impressions]]=0,0,Table2[[#This Row],[clicks]]/Table2[[#This Row],[impressions]])</f>
        <v>3.8738429893726431E-2</v>
      </c>
      <c r="P233" s="32">
        <f>IF(Table2[[#This Row],[clicks]]=0,0,Table2[[#This Row],[spend_inr]]/Table2[[#This Row],[clicks]])</f>
        <v>2.5026179941002953</v>
      </c>
      <c r="Q233" s="31">
        <f>IF(Table2[[#This Row],[clicks]]=0,0,Table2[[#This Row],[conversions]]/Table2[[#This Row],[clicks]])</f>
        <v>2.1386430678466076E-2</v>
      </c>
      <c r="R233" s="30">
        <f>IF(Table2[[#This Row],[spend_inr]]=0,0,(Table2[[#This Row],[revenue_inr]]-Table2[[#This Row],[spend_inr]])/Table2[[#This Row],[spend_inr]])</f>
        <v>11.246393894299478</v>
      </c>
      <c r="S233" s="31">
        <f>IF(Table2[[#This Row],[impressions]]=0,0,(Table2[[#This Row],[likes]]+Table2[[#This Row],[comments]]+Table2[[#This Row],[shares]])/Table2[[#This Row],[impressions]])</f>
        <v>0</v>
      </c>
      <c r="T233" s="27"/>
    </row>
    <row r="234" spans="1:20" ht="15.75">
      <c r="A234" s="23" t="s">
        <v>37</v>
      </c>
      <c r="B234" s="20" t="s">
        <v>48</v>
      </c>
      <c r="C234" s="20" t="s">
        <v>55</v>
      </c>
      <c r="D234" s="20" t="s">
        <v>46</v>
      </c>
      <c r="E234" s="20" t="s">
        <v>50</v>
      </c>
      <c r="F234" s="20">
        <v>20878</v>
      </c>
      <c r="G234" s="20">
        <v>253</v>
      </c>
      <c r="H234" s="20">
        <v>5</v>
      </c>
      <c r="I234" s="20">
        <v>3373.89</v>
      </c>
      <c r="J234" s="20">
        <v>3968.85</v>
      </c>
      <c r="K234" s="20">
        <v>112</v>
      </c>
      <c r="L234" s="20">
        <v>6</v>
      </c>
      <c r="M234" s="20">
        <v>7</v>
      </c>
      <c r="N234" s="29">
        <f>IF(Table2[[#This Row],[impressions]]=0,0,Table2[[#This Row],[spend_inr]]/Table2[[#This Row],[impressions]]*1000)</f>
        <v>161.60024906600248</v>
      </c>
      <c r="O234" s="31">
        <f>IF(Table2[[#This Row],[impressions]]=0,0,Table2[[#This Row],[clicks]]/Table2[[#This Row],[impressions]])</f>
        <v>1.2118018967334035E-2</v>
      </c>
      <c r="P234" s="32">
        <f>IF(Table2[[#This Row],[clicks]]=0,0,Table2[[#This Row],[spend_inr]]/Table2[[#This Row],[clicks]])</f>
        <v>13.335533596837944</v>
      </c>
      <c r="Q234" s="31">
        <f>IF(Table2[[#This Row],[clicks]]=0,0,Table2[[#This Row],[conversions]]/Table2[[#This Row],[clicks]])</f>
        <v>1.9762845849802372E-2</v>
      </c>
      <c r="R234" s="30">
        <f>IF(Table2[[#This Row],[spend_inr]]=0,0,(Table2[[#This Row],[revenue_inr]]-Table2[[#This Row],[spend_inr]])/Table2[[#This Row],[spend_inr]])</f>
        <v>0.17634244151409798</v>
      </c>
      <c r="S234" s="31">
        <f>IF(Table2[[#This Row],[impressions]]=0,0,(Table2[[#This Row],[likes]]+Table2[[#This Row],[comments]]+Table2[[#This Row],[shares]])/Table2[[#This Row],[impressions]])</f>
        <v>5.9871635214100967E-3</v>
      </c>
      <c r="T234" s="27"/>
    </row>
    <row r="235" spans="1:20" ht="15.75">
      <c r="A235" s="23" t="s">
        <v>37</v>
      </c>
      <c r="B235" s="20" t="s">
        <v>44</v>
      </c>
      <c r="C235" s="20" t="s">
        <v>54</v>
      </c>
      <c r="D235" s="20" t="s">
        <v>46</v>
      </c>
      <c r="E235" s="20" t="s">
        <v>50</v>
      </c>
      <c r="F235" s="20">
        <v>10459</v>
      </c>
      <c r="G235" s="20">
        <v>174</v>
      </c>
      <c r="H235" s="20">
        <v>4</v>
      </c>
      <c r="I235" s="20">
        <v>3361.35</v>
      </c>
      <c r="J235" s="20">
        <v>4764.34</v>
      </c>
      <c r="K235" s="20">
        <v>71</v>
      </c>
      <c r="L235" s="20">
        <v>5</v>
      </c>
      <c r="M235" s="20">
        <v>4</v>
      </c>
      <c r="N235" s="29">
        <f>IF(Table2[[#This Row],[impressions]]=0,0,Table2[[#This Row],[spend_inr]]/Table2[[#This Row],[impressions]]*1000)</f>
        <v>321.38349746629694</v>
      </c>
      <c r="O235" s="31">
        <f>IF(Table2[[#This Row],[impressions]]=0,0,Table2[[#This Row],[clicks]]/Table2[[#This Row],[impressions]])</f>
        <v>1.6636389712209581E-2</v>
      </c>
      <c r="P235" s="32">
        <f>IF(Table2[[#This Row],[clicks]]=0,0,Table2[[#This Row],[spend_inr]]/Table2[[#This Row],[clicks]])</f>
        <v>19.31810344827586</v>
      </c>
      <c r="Q235" s="31">
        <f>IF(Table2[[#This Row],[clicks]]=0,0,Table2[[#This Row],[conversions]]/Table2[[#This Row],[clicks]])</f>
        <v>2.2988505747126436E-2</v>
      </c>
      <c r="R235" s="30">
        <f>IF(Table2[[#This Row],[spend_inr]]=0,0,(Table2[[#This Row],[revenue_inr]]-Table2[[#This Row],[spend_inr]])/Table2[[#This Row],[spend_inr]])</f>
        <v>0.4173888467431241</v>
      </c>
      <c r="S235" s="31">
        <f>IF(Table2[[#This Row],[impressions]]=0,0,(Table2[[#This Row],[likes]]+Table2[[#This Row],[comments]]+Table2[[#This Row],[shares]])/Table2[[#This Row],[impressions]])</f>
        <v>7.6489148102113014E-3</v>
      </c>
      <c r="T235" s="27"/>
    </row>
    <row r="236" spans="1:20" ht="15.75">
      <c r="A236" s="23" t="s">
        <v>52</v>
      </c>
      <c r="B236" s="20" t="s">
        <v>43</v>
      </c>
      <c r="C236" s="20" t="s">
        <v>39</v>
      </c>
      <c r="D236" s="20" t="s">
        <v>46</v>
      </c>
      <c r="E236" s="20" t="s">
        <v>53</v>
      </c>
      <c r="F236" s="20">
        <v>0</v>
      </c>
      <c r="G236" s="20">
        <v>1587</v>
      </c>
      <c r="H236" s="20">
        <v>58</v>
      </c>
      <c r="I236" s="20">
        <v>3350.29</v>
      </c>
      <c r="J236" s="20">
        <v>53324.95</v>
      </c>
      <c r="K236" s="20">
        <v>0</v>
      </c>
      <c r="L236" s="20">
        <v>0</v>
      </c>
      <c r="M236" s="20">
        <v>0</v>
      </c>
      <c r="N236" s="29">
        <f>IF(Table2[[#This Row],[impressions]]=0,0,Table2[[#This Row],[spend_inr]]/Table2[[#This Row],[impressions]]*1000)</f>
        <v>0</v>
      </c>
      <c r="O236" s="31">
        <f>IF(Table2[[#This Row],[impressions]]=0,0,Table2[[#This Row],[clicks]]/Table2[[#This Row],[impressions]])</f>
        <v>0</v>
      </c>
      <c r="P236" s="32">
        <f>IF(Table2[[#This Row],[clicks]]=0,0,Table2[[#This Row],[spend_inr]]/Table2[[#This Row],[clicks]])</f>
        <v>2.1110838059231254</v>
      </c>
      <c r="Q236" s="31">
        <f>IF(Table2[[#This Row],[clicks]]=0,0,Table2[[#This Row],[conversions]]/Table2[[#This Row],[clicks]])</f>
        <v>3.6546943919344675E-2</v>
      </c>
      <c r="R236" s="30">
        <f>IF(Table2[[#This Row],[spend_inr]]=0,0,(Table2[[#This Row],[revenue_inr]]-Table2[[#This Row],[spend_inr]])/Table2[[#This Row],[spend_inr]])</f>
        <v>14.916517674589363</v>
      </c>
      <c r="S236" s="31">
        <f>IF(Table2[[#This Row],[impressions]]=0,0,(Table2[[#This Row],[likes]]+Table2[[#This Row],[comments]]+Table2[[#This Row],[shares]])/Table2[[#This Row],[impressions]])</f>
        <v>0</v>
      </c>
      <c r="T236" s="27"/>
    </row>
    <row r="237" spans="1:20" ht="15.75">
      <c r="A237" s="23" t="s">
        <v>52</v>
      </c>
      <c r="B237" s="20" t="s">
        <v>44</v>
      </c>
      <c r="C237" s="20" t="s">
        <v>55</v>
      </c>
      <c r="D237" s="20" t="s">
        <v>40</v>
      </c>
      <c r="E237" s="20" t="s">
        <v>56</v>
      </c>
      <c r="F237" s="20">
        <v>51501</v>
      </c>
      <c r="G237" s="20">
        <v>1796</v>
      </c>
      <c r="H237" s="20">
        <v>66</v>
      </c>
      <c r="I237" s="20">
        <v>3342.26</v>
      </c>
      <c r="J237" s="20">
        <v>41326.99</v>
      </c>
      <c r="K237" s="20">
        <v>0</v>
      </c>
      <c r="L237" s="20">
        <v>0</v>
      </c>
      <c r="M237" s="20">
        <v>0</v>
      </c>
      <c r="N237" s="29">
        <f>IF(Table2[[#This Row],[impressions]]=0,0,Table2[[#This Row],[spend_inr]]/Table2[[#This Row],[impressions]]*1000)</f>
        <v>64.89699229141182</v>
      </c>
      <c r="O237" s="31">
        <f>IF(Table2[[#This Row],[impressions]]=0,0,Table2[[#This Row],[clicks]]/Table2[[#This Row],[impressions]])</f>
        <v>3.4873109260014371E-2</v>
      </c>
      <c r="P237" s="32">
        <f>IF(Table2[[#This Row],[clicks]]=0,0,Table2[[#This Row],[spend_inr]]/Table2[[#This Row],[clicks]])</f>
        <v>1.8609465478841871</v>
      </c>
      <c r="Q237" s="31">
        <f>IF(Table2[[#This Row],[clicks]]=0,0,Table2[[#This Row],[conversions]]/Table2[[#This Row],[clicks]])</f>
        <v>3.6748329621380846E-2</v>
      </c>
      <c r="R237" s="30">
        <f>IF(Table2[[#This Row],[spend_inr]]=0,0,(Table2[[#This Row],[revenue_inr]]-Table2[[#This Row],[spend_inr]])/Table2[[#This Row],[spend_inr]])</f>
        <v>11.364983573988855</v>
      </c>
      <c r="S237" s="31">
        <f>IF(Table2[[#This Row],[impressions]]=0,0,(Table2[[#This Row],[likes]]+Table2[[#This Row],[comments]]+Table2[[#This Row],[shares]])/Table2[[#This Row],[impressions]])</f>
        <v>0</v>
      </c>
      <c r="T237" s="27"/>
    </row>
    <row r="238" spans="1:20" ht="15.75">
      <c r="A238" s="23" t="s">
        <v>51</v>
      </c>
      <c r="B238" s="20" t="s">
        <v>38</v>
      </c>
      <c r="C238" s="20" t="s">
        <v>55</v>
      </c>
      <c r="D238" s="20" t="s">
        <v>46</v>
      </c>
      <c r="E238" s="20" t="s">
        <v>50</v>
      </c>
      <c r="F238" s="20">
        <v>67338</v>
      </c>
      <c r="G238" s="20">
        <v>732</v>
      </c>
      <c r="H238" s="20">
        <v>7</v>
      </c>
      <c r="I238" s="20">
        <v>3330.45</v>
      </c>
      <c r="J238" s="20">
        <v>5878.63</v>
      </c>
      <c r="K238" s="20">
        <v>325</v>
      </c>
      <c r="L238" s="20">
        <v>33</v>
      </c>
      <c r="M238" s="20">
        <v>28</v>
      </c>
      <c r="N238" s="29">
        <f>IF(Table2[[#This Row],[impressions]]=0,0,Table2[[#This Row],[spend_inr]]/Table2[[#This Row],[impressions]]*1000)</f>
        <v>49.458700882117078</v>
      </c>
      <c r="O238" s="31">
        <f>IF(Table2[[#This Row],[impressions]]=0,0,Table2[[#This Row],[clicks]]/Table2[[#This Row],[impressions]])</f>
        <v>1.087053372538537E-2</v>
      </c>
      <c r="P238" s="32">
        <f>IF(Table2[[#This Row],[clicks]]=0,0,Table2[[#This Row],[spend_inr]]/Table2[[#This Row],[clicks]])</f>
        <v>4.5497950819672131</v>
      </c>
      <c r="Q238" s="31">
        <f>IF(Table2[[#This Row],[clicks]]=0,0,Table2[[#This Row],[conversions]]/Table2[[#This Row],[clicks]])</f>
        <v>9.562841530054645E-3</v>
      </c>
      <c r="R238" s="30">
        <f>IF(Table2[[#This Row],[spend_inr]]=0,0,(Table2[[#This Row],[revenue_inr]]-Table2[[#This Row],[spend_inr]])/Table2[[#This Row],[spend_inr]])</f>
        <v>0.7651158251887884</v>
      </c>
      <c r="S238" s="31">
        <f>IF(Table2[[#This Row],[impressions]]=0,0,(Table2[[#This Row],[likes]]+Table2[[#This Row],[comments]]+Table2[[#This Row],[shares]])/Table2[[#This Row],[impressions]])</f>
        <v>5.7322759808726125E-3</v>
      </c>
      <c r="T238" s="27"/>
    </row>
    <row r="239" spans="1:20" ht="15.75">
      <c r="A239" s="23" t="s">
        <v>52</v>
      </c>
      <c r="B239" s="20" t="s">
        <v>38</v>
      </c>
      <c r="C239" s="20" t="s">
        <v>55</v>
      </c>
      <c r="D239" s="20" t="s">
        <v>40</v>
      </c>
      <c r="E239" s="20" t="s">
        <v>53</v>
      </c>
      <c r="F239" s="20">
        <v>0</v>
      </c>
      <c r="G239" s="20">
        <v>560</v>
      </c>
      <c r="H239" s="20">
        <v>21</v>
      </c>
      <c r="I239" s="20">
        <v>3324.11</v>
      </c>
      <c r="J239" s="20">
        <v>17009.11</v>
      </c>
      <c r="K239" s="20">
        <v>0</v>
      </c>
      <c r="L239" s="20">
        <v>0</v>
      </c>
      <c r="M239" s="20">
        <v>0</v>
      </c>
      <c r="N239" s="29">
        <f>IF(Table2[[#This Row],[impressions]]=0,0,Table2[[#This Row],[spend_inr]]/Table2[[#This Row],[impressions]]*1000)</f>
        <v>0</v>
      </c>
      <c r="O239" s="31">
        <f>IF(Table2[[#This Row],[impressions]]=0,0,Table2[[#This Row],[clicks]]/Table2[[#This Row],[impressions]])</f>
        <v>0</v>
      </c>
      <c r="P239" s="32">
        <f>IF(Table2[[#This Row],[clicks]]=0,0,Table2[[#This Row],[spend_inr]]/Table2[[#This Row],[clicks]])</f>
        <v>5.9359107142857148</v>
      </c>
      <c r="Q239" s="31">
        <f>IF(Table2[[#This Row],[clicks]]=0,0,Table2[[#This Row],[conversions]]/Table2[[#This Row],[clicks]])</f>
        <v>3.7499999999999999E-2</v>
      </c>
      <c r="R239" s="30">
        <f>IF(Table2[[#This Row],[spend_inr]]=0,0,(Table2[[#This Row],[revenue_inr]]-Table2[[#This Row],[spend_inr]])/Table2[[#This Row],[spend_inr]])</f>
        <v>4.1168914386106357</v>
      </c>
      <c r="S239" s="31">
        <f>IF(Table2[[#This Row],[impressions]]=0,0,(Table2[[#This Row],[likes]]+Table2[[#This Row],[comments]]+Table2[[#This Row],[shares]])/Table2[[#This Row],[impressions]])</f>
        <v>0</v>
      </c>
      <c r="T239" s="27"/>
    </row>
    <row r="240" spans="1:20" ht="15.75">
      <c r="A240" s="23" t="s">
        <v>52</v>
      </c>
      <c r="B240" s="20" t="s">
        <v>48</v>
      </c>
      <c r="C240" s="20" t="s">
        <v>55</v>
      </c>
      <c r="D240" s="20" t="s">
        <v>40</v>
      </c>
      <c r="E240" s="20" t="s">
        <v>56</v>
      </c>
      <c r="F240" s="20">
        <v>0</v>
      </c>
      <c r="G240" s="20">
        <v>1931</v>
      </c>
      <c r="H240" s="20">
        <v>96</v>
      </c>
      <c r="I240" s="20">
        <v>3323.21</v>
      </c>
      <c r="J240" s="20">
        <v>120699.46</v>
      </c>
      <c r="K240" s="20">
        <v>0</v>
      </c>
      <c r="L240" s="20">
        <v>0</v>
      </c>
      <c r="M240" s="20">
        <v>0</v>
      </c>
      <c r="N240" s="29">
        <f>IF(Table2[[#This Row],[impressions]]=0,0,Table2[[#This Row],[spend_inr]]/Table2[[#This Row],[impressions]]*1000)</f>
        <v>0</v>
      </c>
      <c r="O240" s="31">
        <f>IF(Table2[[#This Row],[impressions]]=0,0,Table2[[#This Row],[clicks]]/Table2[[#This Row],[impressions]])</f>
        <v>0</v>
      </c>
      <c r="P240" s="32">
        <f>IF(Table2[[#This Row],[clicks]]=0,0,Table2[[#This Row],[spend_inr]]/Table2[[#This Row],[clicks]])</f>
        <v>1.7209787674779906</v>
      </c>
      <c r="Q240" s="31">
        <f>IF(Table2[[#This Row],[clicks]]=0,0,Table2[[#This Row],[conversions]]/Table2[[#This Row],[clicks]])</f>
        <v>4.9715173485240807E-2</v>
      </c>
      <c r="R240" s="30">
        <f>IF(Table2[[#This Row],[spend_inr]]=0,0,(Table2[[#This Row],[revenue_inr]]-Table2[[#This Row],[spend_inr]])/Table2[[#This Row],[spend_inr]])</f>
        <v>35.320142272080311</v>
      </c>
      <c r="S240" s="31">
        <f>IF(Table2[[#This Row],[impressions]]=0,0,(Table2[[#This Row],[likes]]+Table2[[#This Row],[comments]]+Table2[[#This Row],[shares]])/Table2[[#This Row],[impressions]])</f>
        <v>0</v>
      </c>
      <c r="T240" s="27"/>
    </row>
    <row r="241" spans="1:20" ht="15.75">
      <c r="A241" s="23" t="s">
        <v>37</v>
      </c>
      <c r="B241" s="20" t="s">
        <v>43</v>
      </c>
      <c r="C241" s="20" t="s">
        <v>55</v>
      </c>
      <c r="D241" s="20" t="s">
        <v>40</v>
      </c>
      <c r="E241" s="20" t="s">
        <v>50</v>
      </c>
      <c r="F241" s="20">
        <v>14874</v>
      </c>
      <c r="G241" s="20">
        <v>207</v>
      </c>
      <c r="H241" s="20">
        <v>5</v>
      </c>
      <c r="I241" s="20">
        <v>3305.47</v>
      </c>
      <c r="J241" s="20">
        <v>6643.53</v>
      </c>
      <c r="K241" s="20">
        <v>77</v>
      </c>
      <c r="L241" s="20">
        <v>4</v>
      </c>
      <c r="M241" s="20">
        <v>3</v>
      </c>
      <c r="N241" s="29">
        <f>IF(Table2[[#This Row],[impressions]]=0,0,Table2[[#This Row],[spend_inr]]/Table2[[#This Row],[impressions]]*1000)</f>
        <v>222.2314105149926</v>
      </c>
      <c r="O241" s="31">
        <f>IF(Table2[[#This Row],[impressions]]=0,0,Table2[[#This Row],[clicks]]/Table2[[#This Row],[impressions]])</f>
        <v>1.3916901976603469E-2</v>
      </c>
      <c r="P241" s="32">
        <f>IF(Table2[[#This Row],[clicks]]=0,0,Table2[[#This Row],[spend_inr]]/Table2[[#This Row],[clicks]])</f>
        <v>15.968454106280193</v>
      </c>
      <c r="Q241" s="31">
        <f>IF(Table2[[#This Row],[clicks]]=0,0,Table2[[#This Row],[conversions]]/Table2[[#This Row],[clicks]])</f>
        <v>2.4154589371980676E-2</v>
      </c>
      <c r="R241" s="30">
        <f>IF(Table2[[#This Row],[spend_inr]]=0,0,(Table2[[#This Row],[revenue_inr]]-Table2[[#This Row],[spend_inr]])/Table2[[#This Row],[spend_inr]])</f>
        <v>1.0098594148487205</v>
      </c>
      <c r="S241" s="31">
        <f>IF(Table2[[#This Row],[impressions]]=0,0,(Table2[[#This Row],[likes]]+Table2[[#This Row],[comments]]+Table2[[#This Row],[shares]])/Table2[[#This Row],[impressions]])</f>
        <v>5.647438483259379E-3</v>
      </c>
      <c r="T241" s="27"/>
    </row>
    <row r="242" spans="1:20" ht="15.75">
      <c r="A242" s="23" t="s">
        <v>37</v>
      </c>
      <c r="B242" s="20" t="s">
        <v>44</v>
      </c>
      <c r="C242" s="20" t="s">
        <v>54</v>
      </c>
      <c r="D242" s="20" t="s">
        <v>46</v>
      </c>
      <c r="E242" s="20" t="s">
        <v>41</v>
      </c>
      <c r="F242" s="20">
        <v>48460</v>
      </c>
      <c r="G242" s="20">
        <v>971</v>
      </c>
      <c r="H242" s="20">
        <v>16</v>
      </c>
      <c r="I242" s="20">
        <v>3296.56</v>
      </c>
      <c r="J242" s="20">
        <v>20370.43</v>
      </c>
      <c r="K242" s="20">
        <v>359</v>
      </c>
      <c r="L242" s="20">
        <v>26</v>
      </c>
      <c r="M242" s="20">
        <v>13</v>
      </c>
      <c r="N242" s="29">
        <f>IF(Table2[[#This Row],[impressions]]=0,0,Table2[[#This Row],[spend_inr]]/Table2[[#This Row],[impressions]]*1000)</f>
        <v>68.026413536937682</v>
      </c>
      <c r="O242" s="31">
        <f>IF(Table2[[#This Row],[impressions]]=0,0,Table2[[#This Row],[clicks]]/Table2[[#This Row],[impressions]])</f>
        <v>2.0037144036318615E-2</v>
      </c>
      <c r="P242" s="32">
        <f>IF(Table2[[#This Row],[clicks]]=0,0,Table2[[#This Row],[spend_inr]]/Table2[[#This Row],[clicks]])</f>
        <v>3.3950154479917609</v>
      </c>
      <c r="Q242" s="31">
        <f>IF(Table2[[#This Row],[clicks]]=0,0,Table2[[#This Row],[conversions]]/Table2[[#This Row],[clicks]])</f>
        <v>1.6477857878475798E-2</v>
      </c>
      <c r="R242" s="30">
        <f>IF(Table2[[#This Row],[spend_inr]]=0,0,(Table2[[#This Row],[revenue_inr]]-Table2[[#This Row],[spend_inr]])/Table2[[#This Row],[spend_inr]])</f>
        <v>5.1792990268643671</v>
      </c>
      <c r="S242" s="31">
        <f>IF(Table2[[#This Row],[impressions]]=0,0,(Table2[[#This Row],[likes]]+Table2[[#This Row],[comments]]+Table2[[#This Row],[shares]])/Table2[[#This Row],[impressions]])</f>
        <v>8.212959141560049E-3</v>
      </c>
      <c r="T242" s="27"/>
    </row>
    <row r="243" spans="1:20" ht="15.75">
      <c r="A243" s="23" t="s">
        <v>52</v>
      </c>
      <c r="B243" s="20" t="s">
        <v>48</v>
      </c>
      <c r="C243" s="20" t="s">
        <v>39</v>
      </c>
      <c r="D243" s="20" t="s">
        <v>40</v>
      </c>
      <c r="E243" s="20" t="s">
        <v>53</v>
      </c>
      <c r="F243" s="20">
        <v>31731</v>
      </c>
      <c r="G243" s="20">
        <v>771</v>
      </c>
      <c r="H243" s="20">
        <v>28</v>
      </c>
      <c r="I243" s="20">
        <v>3288.24</v>
      </c>
      <c r="J243" s="20">
        <v>20961.150000000001</v>
      </c>
      <c r="K243" s="20">
        <v>0</v>
      </c>
      <c r="L243" s="20">
        <v>0</v>
      </c>
      <c r="M243" s="20">
        <v>0</v>
      </c>
      <c r="N243" s="29">
        <f>IF(Table2[[#This Row],[impressions]]=0,0,Table2[[#This Row],[spend_inr]]/Table2[[#This Row],[impressions]]*1000)</f>
        <v>103.62862815543158</v>
      </c>
      <c r="O243" s="31">
        <f>IF(Table2[[#This Row],[impressions]]=0,0,Table2[[#This Row],[clicks]]/Table2[[#This Row],[impressions]])</f>
        <v>2.4298005105417415E-2</v>
      </c>
      <c r="P243" s="32">
        <f>IF(Table2[[#This Row],[clicks]]=0,0,Table2[[#This Row],[spend_inr]]/Table2[[#This Row],[clicks]])</f>
        <v>4.2649027237354087</v>
      </c>
      <c r="Q243" s="31">
        <f>IF(Table2[[#This Row],[clicks]]=0,0,Table2[[#This Row],[conversions]]/Table2[[#This Row],[clicks]])</f>
        <v>3.6316472114137487E-2</v>
      </c>
      <c r="R243" s="30">
        <f>IF(Table2[[#This Row],[spend_inr]]=0,0,(Table2[[#This Row],[revenue_inr]]-Table2[[#This Row],[spend_inr]])/Table2[[#This Row],[spend_inr]])</f>
        <v>5.3745803226041913</v>
      </c>
      <c r="S243" s="31">
        <f>IF(Table2[[#This Row],[impressions]]=0,0,(Table2[[#This Row],[likes]]+Table2[[#This Row],[comments]]+Table2[[#This Row],[shares]])/Table2[[#This Row],[impressions]])</f>
        <v>0</v>
      </c>
      <c r="T243" s="27"/>
    </row>
    <row r="244" spans="1:20" ht="15.75">
      <c r="A244" s="23" t="s">
        <v>52</v>
      </c>
      <c r="B244" s="20" t="s">
        <v>43</v>
      </c>
      <c r="C244" s="20" t="s">
        <v>49</v>
      </c>
      <c r="D244" s="20" t="s">
        <v>46</v>
      </c>
      <c r="E244" s="20" t="s">
        <v>56</v>
      </c>
      <c r="F244" s="20">
        <v>29825</v>
      </c>
      <c r="G244" s="20">
        <v>1024</v>
      </c>
      <c r="H244" s="20">
        <v>24</v>
      </c>
      <c r="I244" s="20">
        <v>3244.37</v>
      </c>
      <c r="J244" s="20">
        <v>33244.58</v>
      </c>
      <c r="K244" s="20">
        <v>0</v>
      </c>
      <c r="L244" s="20">
        <v>0</v>
      </c>
      <c r="M244" s="20">
        <v>0</v>
      </c>
      <c r="N244" s="29">
        <f>IF(Table2[[#This Row],[impressions]]=0,0,Table2[[#This Row],[spend_inr]]/Table2[[#This Row],[impressions]]*1000)</f>
        <v>108.78021793797149</v>
      </c>
      <c r="O244" s="31">
        <f>IF(Table2[[#This Row],[impressions]]=0,0,Table2[[#This Row],[clicks]]/Table2[[#This Row],[impressions]])</f>
        <v>3.4333612740989103E-2</v>
      </c>
      <c r="P244" s="32">
        <f>IF(Table2[[#This Row],[clicks]]=0,0,Table2[[#This Row],[spend_inr]]/Table2[[#This Row],[clicks]])</f>
        <v>3.1683300781249999</v>
      </c>
      <c r="Q244" s="31">
        <f>IF(Table2[[#This Row],[clicks]]=0,0,Table2[[#This Row],[conversions]]/Table2[[#This Row],[clicks]])</f>
        <v>2.34375E-2</v>
      </c>
      <c r="R244" s="30">
        <f>IF(Table2[[#This Row],[spend_inr]]=0,0,(Table2[[#This Row],[revenue_inr]]-Table2[[#This Row],[spend_inr]])/Table2[[#This Row],[spend_inr]])</f>
        <v>9.246852239417823</v>
      </c>
      <c r="S244" s="31">
        <f>IF(Table2[[#This Row],[impressions]]=0,0,(Table2[[#This Row],[likes]]+Table2[[#This Row],[comments]]+Table2[[#This Row],[shares]])/Table2[[#This Row],[impressions]])</f>
        <v>0</v>
      </c>
      <c r="T244" s="27"/>
    </row>
    <row r="245" spans="1:20" ht="15.75">
      <c r="A245" s="23" t="s">
        <v>52</v>
      </c>
      <c r="B245" s="20" t="s">
        <v>48</v>
      </c>
      <c r="C245" s="20" t="s">
        <v>54</v>
      </c>
      <c r="D245" s="20" t="s">
        <v>46</v>
      </c>
      <c r="E245" s="20" t="s">
        <v>56</v>
      </c>
      <c r="F245" s="20">
        <v>50792</v>
      </c>
      <c r="G245" s="20">
        <v>1592</v>
      </c>
      <c r="H245" s="20">
        <v>13</v>
      </c>
      <c r="I245" s="20">
        <v>3209.91</v>
      </c>
      <c r="J245" s="20">
        <v>9231.99</v>
      </c>
      <c r="K245" s="20">
        <v>0</v>
      </c>
      <c r="L245" s="20">
        <v>0</v>
      </c>
      <c r="M245" s="20">
        <v>0</v>
      </c>
      <c r="N245" s="29">
        <f>IF(Table2[[#This Row],[impressions]]=0,0,Table2[[#This Row],[spend_inr]]/Table2[[#This Row],[impressions]]*1000)</f>
        <v>63.197157032603563</v>
      </c>
      <c r="O245" s="31">
        <f>IF(Table2[[#This Row],[impressions]]=0,0,Table2[[#This Row],[clicks]]/Table2[[#This Row],[impressions]])</f>
        <v>3.1343518664356591E-2</v>
      </c>
      <c r="P245" s="32">
        <f>IF(Table2[[#This Row],[clicks]]=0,0,Table2[[#This Row],[spend_inr]]/Table2[[#This Row],[clicks]])</f>
        <v>2.0162751256281406</v>
      </c>
      <c r="Q245" s="31">
        <f>IF(Table2[[#This Row],[clicks]]=0,0,Table2[[#This Row],[conversions]]/Table2[[#This Row],[clicks]])</f>
        <v>8.1658291457286439E-3</v>
      </c>
      <c r="R245" s="30">
        <f>IF(Table2[[#This Row],[spend_inr]]=0,0,(Table2[[#This Row],[revenue_inr]]-Table2[[#This Row],[spend_inr]])/Table2[[#This Row],[spend_inr]])</f>
        <v>1.8760899838313225</v>
      </c>
      <c r="S245" s="31">
        <f>IF(Table2[[#This Row],[impressions]]=0,0,(Table2[[#This Row],[likes]]+Table2[[#This Row],[comments]]+Table2[[#This Row],[shares]])/Table2[[#This Row],[impressions]])</f>
        <v>0</v>
      </c>
      <c r="T245" s="27"/>
    </row>
    <row r="246" spans="1:20" ht="15.75">
      <c r="A246" s="23" t="s">
        <v>51</v>
      </c>
      <c r="B246" s="20" t="s">
        <v>38</v>
      </c>
      <c r="C246" s="20" t="s">
        <v>54</v>
      </c>
      <c r="D246" s="20" t="s">
        <v>46</v>
      </c>
      <c r="E246" s="20" t="s">
        <v>50</v>
      </c>
      <c r="F246" s="20">
        <v>63592</v>
      </c>
      <c r="G246" s="20">
        <v>406</v>
      </c>
      <c r="H246" s="20">
        <v>5</v>
      </c>
      <c r="I246" s="20">
        <v>3171.18</v>
      </c>
      <c r="J246" s="20">
        <v>6599.48</v>
      </c>
      <c r="K246" s="20">
        <v>137</v>
      </c>
      <c r="L246" s="20">
        <v>10</v>
      </c>
      <c r="M246" s="20">
        <v>8</v>
      </c>
      <c r="N246" s="29">
        <f>IF(Table2[[#This Row],[impressions]]=0,0,Table2[[#This Row],[spend_inr]]/Table2[[#This Row],[impressions]]*1000)</f>
        <v>49.867593407975839</v>
      </c>
      <c r="O246" s="31">
        <f>IF(Table2[[#This Row],[impressions]]=0,0,Table2[[#This Row],[clicks]]/Table2[[#This Row],[impressions]])</f>
        <v>6.3844508743238146E-3</v>
      </c>
      <c r="P246" s="32">
        <f>IF(Table2[[#This Row],[clicks]]=0,0,Table2[[#This Row],[spend_inr]]/Table2[[#This Row],[clicks]])</f>
        <v>7.8107881773399015</v>
      </c>
      <c r="Q246" s="31">
        <f>IF(Table2[[#This Row],[clicks]]=0,0,Table2[[#This Row],[conversions]]/Table2[[#This Row],[clicks]])</f>
        <v>1.2315270935960592E-2</v>
      </c>
      <c r="R246" s="30">
        <f>IF(Table2[[#This Row],[spend_inr]]=0,0,(Table2[[#This Row],[revenue_inr]]-Table2[[#This Row],[spend_inr]])/Table2[[#This Row],[spend_inr]])</f>
        <v>1.0810802288107266</v>
      </c>
      <c r="S246" s="31">
        <f>IF(Table2[[#This Row],[impressions]]=0,0,(Table2[[#This Row],[likes]]+Table2[[#This Row],[comments]]+Table2[[#This Row],[shares]])/Table2[[#This Row],[impressions]])</f>
        <v>2.4374135111334761E-3</v>
      </c>
      <c r="T246" s="27"/>
    </row>
    <row r="247" spans="1:20" ht="15.75">
      <c r="A247" s="23" t="s">
        <v>51</v>
      </c>
      <c r="B247" s="20" t="s">
        <v>44</v>
      </c>
      <c r="C247" s="20" t="s">
        <v>54</v>
      </c>
      <c r="D247" s="20" t="s">
        <v>46</v>
      </c>
      <c r="E247" s="20" t="s">
        <v>50</v>
      </c>
      <c r="F247" s="20">
        <v>32131</v>
      </c>
      <c r="G247" s="20">
        <v>232</v>
      </c>
      <c r="H247" s="20">
        <v>4</v>
      </c>
      <c r="I247" s="20">
        <v>3163.26</v>
      </c>
      <c r="J247" s="20">
        <v>5423.32</v>
      </c>
      <c r="K247" s="20">
        <v>73</v>
      </c>
      <c r="L247" s="20">
        <v>5</v>
      </c>
      <c r="M247" s="20">
        <v>3</v>
      </c>
      <c r="N247" s="29">
        <f>IF(Table2[[#This Row],[impressions]]=0,0,Table2[[#This Row],[spend_inr]]/Table2[[#This Row],[impressions]]*1000)</f>
        <v>98.448850020229699</v>
      </c>
      <c r="O247" s="31">
        <f>IF(Table2[[#This Row],[impressions]]=0,0,Table2[[#This Row],[clicks]]/Table2[[#This Row],[impressions]])</f>
        <v>7.2204413183529926E-3</v>
      </c>
      <c r="P247" s="32">
        <f>IF(Table2[[#This Row],[clicks]]=0,0,Table2[[#This Row],[spend_inr]]/Table2[[#This Row],[clicks]])</f>
        <v>13.634741379310345</v>
      </c>
      <c r="Q247" s="31">
        <f>IF(Table2[[#This Row],[clicks]]=0,0,Table2[[#This Row],[conversions]]/Table2[[#This Row],[clicks]])</f>
        <v>1.7241379310344827E-2</v>
      </c>
      <c r="R247" s="30">
        <f>IF(Table2[[#This Row],[spend_inr]]=0,0,(Table2[[#This Row],[revenue_inr]]-Table2[[#This Row],[spend_inr]])/Table2[[#This Row],[spend_inr]])</f>
        <v>0.71447177911395188</v>
      </c>
      <c r="S247" s="31">
        <f>IF(Table2[[#This Row],[impressions]]=0,0,(Table2[[#This Row],[likes]]+Table2[[#This Row],[comments]]+Table2[[#This Row],[shares]])/Table2[[#This Row],[impressions]])</f>
        <v>2.5209299430456566E-3</v>
      </c>
      <c r="T247" s="27"/>
    </row>
    <row r="248" spans="1:20" ht="15.75">
      <c r="A248" s="23" t="s">
        <v>51</v>
      </c>
      <c r="B248" s="20" t="s">
        <v>43</v>
      </c>
      <c r="C248" s="20" t="s">
        <v>55</v>
      </c>
      <c r="D248" s="20" t="s">
        <v>40</v>
      </c>
      <c r="E248" s="20" t="s">
        <v>50</v>
      </c>
      <c r="F248" s="20">
        <v>59231</v>
      </c>
      <c r="G248" s="20">
        <v>484</v>
      </c>
      <c r="H248" s="20">
        <v>9</v>
      </c>
      <c r="I248" s="20">
        <v>3155.79</v>
      </c>
      <c r="J248" s="20">
        <v>7634.97</v>
      </c>
      <c r="K248" s="20">
        <v>223</v>
      </c>
      <c r="L248" s="20">
        <v>18</v>
      </c>
      <c r="M248" s="20">
        <v>13</v>
      </c>
      <c r="N248" s="29">
        <f>IF(Table2[[#This Row],[impressions]]=0,0,Table2[[#This Row],[spend_inr]]/Table2[[#This Row],[impressions]]*1000)</f>
        <v>53.279363846634361</v>
      </c>
      <c r="O248" s="31">
        <f>IF(Table2[[#This Row],[impressions]]=0,0,Table2[[#This Row],[clicks]]/Table2[[#This Row],[impressions]])</f>
        <v>8.1713967348179158E-3</v>
      </c>
      <c r="P248" s="32">
        <f>IF(Table2[[#This Row],[clicks]]=0,0,Table2[[#This Row],[spend_inr]]/Table2[[#This Row],[clicks]])</f>
        <v>6.520227272727273</v>
      </c>
      <c r="Q248" s="31">
        <f>IF(Table2[[#This Row],[clicks]]=0,0,Table2[[#This Row],[conversions]]/Table2[[#This Row],[clicks]])</f>
        <v>1.859504132231405E-2</v>
      </c>
      <c r="R248" s="30">
        <f>IF(Table2[[#This Row],[spend_inr]]=0,0,(Table2[[#This Row],[revenue_inr]]-Table2[[#This Row],[spend_inr]])/Table2[[#This Row],[spend_inr]])</f>
        <v>1.4193529987736828</v>
      </c>
      <c r="S248" s="31">
        <f>IF(Table2[[#This Row],[impressions]]=0,0,(Table2[[#This Row],[likes]]+Table2[[#This Row],[comments]]+Table2[[#This Row],[shares]])/Table2[[#This Row],[impressions]])</f>
        <v>4.2882949806689061E-3</v>
      </c>
      <c r="T248" s="27"/>
    </row>
    <row r="249" spans="1:20" ht="15.75">
      <c r="A249" s="23" t="s">
        <v>51</v>
      </c>
      <c r="B249" s="20" t="s">
        <v>38</v>
      </c>
      <c r="C249" s="20" t="s">
        <v>54</v>
      </c>
      <c r="D249" s="20" t="s">
        <v>40</v>
      </c>
      <c r="E249" s="20" t="s">
        <v>50</v>
      </c>
      <c r="F249" s="20">
        <v>45101</v>
      </c>
      <c r="G249" s="20">
        <v>500</v>
      </c>
      <c r="H249" s="20">
        <v>6</v>
      </c>
      <c r="I249" s="20">
        <v>3147.47</v>
      </c>
      <c r="J249" s="20">
        <v>8354.3799999999992</v>
      </c>
      <c r="K249" s="20">
        <v>223</v>
      </c>
      <c r="L249" s="20">
        <v>10</v>
      </c>
      <c r="M249" s="20">
        <v>14</v>
      </c>
      <c r="N249" s="29">
        <f>IF(Table2[[#This Row],[impressions]]=0,0,Table2[[#This Row],[spend_inr]]/Table2[[#This Row],[impressions]]*1000)</f>
        <v>69.787144409214861</v>
      </c>
      <c r="O249" s="31">
        <f>IF(Table2[[#This Row],[impressions]]=0,0,Table2[[#This Row],[clicks]]/Table2[[#This Row],[impressions]])</f>
        <v>1.108622868672535E-2</v>
      </c>
      <c r="P249" s="32">
        <f>IF(Table2[[#This Row],[clicks]]=0,0,Table2[[#This Row],[spend_inr]]/Table2[[#This Row],[clicks]])</f>
        <v>6.2949399999999995</v>
      </c>
      <c r="Q249" s="31">
        <f>IF(Table2[[#This Row],[clicks]]=0,0,Table2[[#This Row],[conversions]]/Table2[[#This Row],[clicks]])</f>
        <v>1.2E-2</v>
      </c>
      <c r="R249" s="30">
        <f>IF(Table2[[#This Row],[spend_inr]]=0,0,(Table2[[#This Row],[revenue_inr]]-Table2[[#This Row],[spend_inr]])/Table2[[#This Row],[spend_inr]])</f>
        <v>1.654316006189098</v>
      </c>
      <c r="S249" s="31">
        <f>IF(Table2[[#This Row],[impressions]]=0,0,(Table2[[#This Row],[likes]]+Table2[[#This Row],[comments]]+Table2[[#This Row],[shares]])/Table2[[#This Row],[impressions]])</f>
        <v>5.4765969712423229E-3</v>
      </c>
      <c r="T249" s="27"/>
    </row>
    <row r="250" spans="1:20" ht="15.75">
      <c r="A250" s="23" t="s">
        <v>42</v>
      </c>
      <c r="B250" s="20" t="s">
        <v>48</v>
      </c>
      <c r="C250" s="20" t="s">
        <v>49</v>
      </c>
      <c r="D250" s="20" t="s">
        <v>40</v>
      </c>
      <c r="E250" s="20" t="s">
        <v>41</v>
      </c>
      <c r="F250" s="20">
        <v>75520</v>
      </c>
      <c r="G250" s="20">
        <v>650</v>
      </c>
      <c r="H250" s="20">
        <v>0</v>
      </c>
      <c r="I250" s="20">
        <v>3114.36</v>
      </c>
      <c r="J250" s="20">
        <v>7296.77</v>
      </c>
      <c r="K250" s="20">
        <v>218</v>
      </c>
      <c r="L250" s="20">
        <v>36</v>
      </c>
      <c r="M250" s="20">
        <v>13</v>
      </c>
      <c r="N250" s="29">
        <f>IF(Table2[[#This Row],[impressions]]=0,0,Table2[[#This Row],[spend_inr]]/Table2[[#This Row],[impressions]]*1000)</f>
        <v>41.238877118644069</v>
      </c>
      <c r="O250" s="31">
        <f>IF(Table2[[#This Row],[impressions]]=0,0,Table2[[#This Row],[clicks]]/Table2[[#This Row],[impressions]])</f>
        <v>8.6069915254237284E-3</v>
      </c>
      <c r="P250" s="32">
        <f>IF(Table2[[#This Row],[clicks]]=0,0,Table2[[#This Row],[spend_inr]]/Table2[[#This Row],[clicks]])</f>
        <v>4.791323076923077</v>
      </c>
      <c r="Q250" s="31">
        <f>IF(Table2[[#This Row],[clicks]]=0,0,Table2[[#This Row],[conversions]]/Table2[[#This Row],[clicks]])</f>
        <v>0</v>
      </c>
      <c r="R250" s="30">
        <f>IF(Table2[[#This Row],[spend_inr]]=0,0,(Table2[[#This Row],[revenue_inr]]-Table2[[#This Row],[spend_inr]])/Table2[[#This Row],[spend_inr]])</f>
        <v>1.3429436545550288</v>
      </c>
      <c r="S250" s="31">
        <f>IF(Table2[[#This Row],[impressions]]=0,0,(Table2[[#This Row],[likes]]+Table2[[#This Row],[comments]]+Table2[[#This Row],[shares]])/Table2[[#This Row],[impressions]])</f>
        <v>3.5354872881355934E-3</v>
      </c>
      <c r="T250" s="27"/>
    </row>
    <row r="251" spans="1:20" ht="15.75">
      <c r="A251" s="23" t="s">
        <v>37</v>
      </c>
      <c r="B251" s="20" t="s">
        <v>48</v>
      </c>
      <c r="C251" s="20" t="s">
        <v>45</v>
      </c>
      <c r="D251" s="20" t="s">
        <v>40</v>
      </c>
      <c r="E251" s="20" t="s">
        <v>47</v>
      </c>
      <c r="F251" s="20">
        <v>78336</v>
      </c>
      <c r="G251" s="20">
        <v>991</v>
      </c>
      <c r="H251" s="20">
        <v>15</v>
      </c>
      <c r="I251" s="20">
        <v>3113.19</v>
      </c>
      <c r="J251" s="20">
        <v>8241.35</v>
      </c>
      <c r="K251" s="20">
        <v>306</v>
      </c>
      <c r="L251" s="20">
        <v>23</v>
      </c>
      <c r="M251" s="20">
        <v>14</v>
      </c>
      <c r="N251" s="29">
        <f>IF(Table2[[#This Row],[impressions]]=0,0,Table2[[#This Row],[spend_inr]]/Table2[[#This Row],[impressions]]*1000)</f>
        <v>39.741498161764703</v>
      </c>
      <c r="O251" s="31">
        <f>IF(Table2[[#This Row],[impressions]]=0,0,Table2[[#This Row],[clicks]]/Table2[[#This Row],[impressions]])</f>
        <v>1.2650633169934641E-2</v>
      </c>
      <c r="P251" s="32">
        <f>IF(Table2[[#This Row],[clicks]]=0,0,Table2[[#This Row],[spend_inr]]/Table2[[#This Row],[clicks]])</f>
        <v>3.1414631685166499</v>
      </c>
      <c r="Q251" s="31">
        <f>IF(Table2[[#This Row],[clicks]]=0,0,Table2[[#This Row],[conversions]]/Table2[[#This Row],[clicks]])</f>
        <v>1.5136226034308779E-2</v>
      </c>
      <c r="R251" s="30">
        <f>IF(Table2[[#This Row],[spend_inr]]=0,0,(Table2[[#This Row],[revenue_inr]]-Table2[[#This Row],[spend_inr]])/Table2[[#This Row],[spend_inr]])</f>
        <v>1.6472364359386995</v>
      </c>
      <c r="S251" s="31">
        <f>IF(Table2[[#This Row],[impressions]]=0,0,(Table2[[#This Row],[likes]]+Table2[[#This Row],[comments]]+Table2[[#This Row],[shares]])/Table2[[#This Row],[impressions]])</f>
        <v>4.3785743464052288E-3</v>
      </c>
      <c r="T251" s="27"/>
    </row>
    <row r="252" spans="1:20" ht="15.75">
      <c r="A252" s="23" t="s">
        <v>37</v>
      </c>
      <c r="B252" s="20" t="s">
        <v>48</v>
      </c>
      <c r="C252" s="20" t="s">
        <v>49</v>
      </c>
      <c r="D252" s="20" t="s">
        <v>46</v>
      </c>
      <c r="E252" s="20" t="s">
        <v>41</v>
      </c>
      <c r="F252" s="20">
        <v>57210</v>
      </c>
      <c r="G252" s="20">
        <v>1325</v>
      </c>
      <c r="H252" s="20">
        <v>22</v>
      </c>
      <c r="I252" s="20">
        <v>3025.61</v>
      </c>
      <c r="J252" s="20">
        <v>13139.99</v>
      </c>
      <c r="K252" s="20">
        <v>474</v>
      </c>
      <c r="L252" s="20">
        <v>64</v>
      </c>
      <c r="M252" s="20">
        <v>35</v>
      </c>
      <c r="N252" s="29">
        <f>IF(Table2[[#This Row],[impressions]]=0,0,Table2[[#This Row],[spend_inr]]/Table2[[#This Row],[impressions]]*1000)</f>
        <v>52.886033910155568</v>
      </c>
      <c r="O252" s="31">
        <f>IF(Table2[[#This Row],[impressions]]=0,0,Table2[[#This Row],[clicks]]/Table2[[#This Row],[impressions]])</f>
        <v>2.3160286663170774E-2</v>
      </c>
      <c r="P252" s="32">
        <f>IF(Table2[[#This Row],[clicks]]=0,0,Table2[[#This Row],[spend_inr]]/Table2[[#This Row],[clicks]])</f>
        <v>2.283479245283019</v>
      </c>
      <c r="Q252" s="31">
        <f>IF(Table2[[#This Row],[clicks]]=0,0,Table2[[#This Row],[conversions]]/Table2[[#This Row],[clicks]])</f>
        <v>1.6603773584905661E-2</v>
      </c>
      <c r="R252" s="30">
        <f>IF(Table2[[#This Row],[spend_inr]]=0,0,(Table2[[#This Row],[revenue_inr]]-Table2[[#This Row],[spend_inr]])/Table2[[#This Row],[spend_inr]])</f>
        <v>3.3429225842061596</v>
      </c>
      <c r="S252" s="31">
        <f>IF(Table2[[#This Row],[impressions]]=0,0,(Table2[[#This Row],[likes]]+Table2[[#This Row],[comments]]+Table2[[#This Row],[shares]])/Table2[[#This Row],[impressions]])</f>
        <v>1.0015731515469323E-2</v>
      </c>
      <c r="T252" s="27"/>
    </row>
    <row r="253" spans="1:20" ht="15.75">
      <c r="A253" s="23" t="s">
        <v>52</v>
      </c>
      <c r="B253" s="20" t="s">
        <v>44</v>
      </c>
      <c r="C253" s="20" t="s">
        <v>49</v>
      </c>
      <c r="D253" s="20" t="s">
        <v>46</v>
      </c>
      <c r="E253" s="20" t="s">
        <v>53</v>
      </c>
      <c r="F253" s="20">
        <v>66694</v>
      </c>
      <c r="G253" s="20">
        <v>1247</v>
      </c>
      <c r="H253" s="20">
        <v>36</v>
      </c>
      <c r="I253" s="20">
        <v>2966.25</v>
      </c>
      <c r="J253" s="20">
        <v>19105.2</v>
      </c>
      <c r="K253" s="20">
        <v>0</v>
      </c>
      <c r="L253" s="20">
        <v>0</v>
      </c>
      <c r="M253" s="20">
        <v>0</v>
      </c>
      <c r="N253" s="29">
        <f>IF(Table2[[#This Row],[impressions]]=0,0,Table2[[#This Row],[spend_inr]]/Table2[[#This Row],[impressions]]*1000)</f>
        <v>44.475515038834075</v>
      </c>
      <c r="O253" s="31">
        <f>IF(Table2[[#This Row],[impressions]]=0,0,Table2[[#This Row],[clicks]]/Table2[[#This Row],[impressions]])</f>
        <v>1.8697334093021861E-2</v>
      </c>
      <c r="P253" s="32">
        <f>IF(Table2[[#This Row],[clicks]]=0,0,Table2[[#This Row],[spend_inr]]/Table2[[#This Row],[clicks]])</f>
        <v>2.3787089013632721</v>
      </c>
      <c r="Q253" s="31">
        <f>IF(Table2[[#This Row],[clicks]]=0,0,Table2[[#This Row],[conversions]]/Table2[[#This Row],[clicks]])</f>
        <v>2.8869286287089013E-2</v>
      </c>
      <c r="R253" s="30">
        <f>IF(Table2[[#This Row],[spend_inr]]=0,0,(Table2[[#This Row],[revenue_inr]]-Table2[[#This Row],[spend_inr]])/Table2[[#This Row],[spend_inr]])</f>
        <v>5.4408596713021495</v>
      </c>
      <c r="S253" s="31">
        <f>IF(Table2[[#This Row],[impressions]]=0,0,(Table2[[#This Row],[likes]]+Table2[[#This Row],[comments]]+Table2[[#This Row],[shares]])/Table2[[#This Row],[impressions]])</f>
        <v>0</v>
      </c>
      <c r="T253" s="27"/>
    </row>
    <row r="254" spans="1:20" ht="15.75">
      <c r="A254" s="23" t="s">
        <v>52</v>
      </c>
      <c r="B254" s="20" t="s">
        <v>48</v>
      </c>
      <c r="C254" s="20" t="s">
        <v>39</v>
      </c>
      <c r="D254" s="20" t="s">
        <v>46</v>
      </c>
      <c r="E254" s="20" t="s">
        <v>56</v>
      </c>
      <c r="F254" s="20">
        <v>71371</v>
      </c>
      <c r="G254" s="20">
        <v>1508</v>
      </c>
      <c r="H254" s="20">
        <v>55</v>
      </c>
      <c r="I254" s="20">
        <v>2924.39</v>
      </c>
      <c r="J254" s="20">
        <v>33928.370000000003</v>
      </c>
      <c r="K254" s="20">
        <v>0</v>
      </c>
      <c r="L254" s="20">
        <v>0</v>
      </c>
      <c r="M254" s="20">
        <v>0</v>
      </c>
      <c r="N254" s="29">
        <f>IF(Table2[[#This Row],[impressions]]=0,0,Table2[[#This Row],[spend_inr]]/Table2[[#This Row],[impressions]]*1000)</f>
        <v>40.974485435260817</v>
      </c>
      <c r="O254" s="31">
        <f>IF(Table2[[#This Row],[impressions]]=0,0,Table2[[#This Row],[clicks]]/Table2[[#This Row],[impressions]])</f>
        <v>2.1129029998178533E-2</v>
      </c>
      <c r="P254" s="32">
        <f>IF(Table2[[#This Row],[clicks]]=0,0,Table2[[#This Row],[spend_inr]]/Table2[[#This Row],[clicks]])</f>
        <v>1.9392506631299733</v>
      </c>
      <c r="Q254" s="31">
        <f>IF(Table2[[#This Row],[clicks]]=0,0,Table2[[#This Row],[conversions]]/Table2[[#This Row],[clicks]])</f>
        <v>3.6472148541114059E-2</v>
      </c>
      <c r="R254" s="30">
        <f>IF(Table2[[#This Row],[spend_inr]]=0,0,(Table2[[#This Row],[revenue_inr]]-Table2[[#This Row],[spend_inr]])/Table2[[#This Row],[spend_inr]])</f>
        <v>10.60186226871245</v>
      </c>
      <c r="S254" s="31">
        <f>IF(Table2[[#This Row],[impressions]]=0,0,(Table2[[#This Row],[likes]]+Table2[[#This Row],[comments]]+Table2[[#This Row],[shares]])/Table2[[#This Row],[impressions]])</f>
        <v>0</v>
      </c>
      <c r="T254" s="27"/>
    </row>
    <row r="255" spans="1:20" ht="15.75">
      <c r="A255" s="23" t="s">
        <v>37</v>
      </c>
      <c r="B255" s="20" t="s">
        <v>48</v>
      </c>
      <c r="C255" s="20" t="s">
        <v>54</v>
      </c>
      <c r="D255" s="20" t="s">
        <v>46</v>
      </c>
      <c r="E255" s="20" t="s">
        <v>50</v>
      </c>
      <c r="F255" s="20">
        <v>62355</v>
      </c>
      <c r="G255" s="20">
        <v>526</v>
      </c>
      <c r="H255" s="20">
        <v>17</v>
      </c>
      <c r="I255" s="20">
        <v>2909.88</v>
      </c>
      <c r="J255" s="20">
        <v>9554.51</v>
      </c>
      <c r="K255" s="20">
        <v>232</v>
      </c>
      <c r="L255" s="20">
        <v>26</v>
      </c>
      <c r="M255" s="20">
        <v>19</v>
      </c>
      <c r="N255" s="29">
        <f>IF(Table2[[#This Row],[impressions]]=0,0,Table2[[#This Row],[spend_inr]]/Table2[[#This Row],[impressions]]*1000)</f>
        <v>46.666345922540295</v>
      </c>
      <c r="O255" s="31">
        <f>IF(Table2[[#This Row],[impressions]]=0,0,Table2[[#This Row],[clicks]]/Table2[[#This Row],[impressions]])</f>
        <v>8.4355705236147868E-3</v>
      </c>
      <c r="P255" s="32">
        <f>IF(Table2[[#This Row],[clicks]]=0,0,Table2[[#This Row],[spend_inr]]/Table2[[#This Row],[clicks]])</f>
        <v>5.532091254752852</v>
      </c>
      <c r="Q255" s="31">
        <f>IF(Table2[[#This Row],[clicks]]=0,0,Table2[[#This Row],[conversions]]/Table2[[#This Row],[clicks]])</f>
        <v>3.2319391634980987E-2</v>
      </c>
      <c r="R255" s="30">
        <f>IF(Table2[[#This Row],[spend_inr]]=0,0,(Table2[[#This Row],[revenue_inr]]-Table2[[#This Row],[spend_inr]])/Table2[[#This Row],[spend_inr]])</f>
        <v>2.2834721706737047</v>
      </c>
      <c r="S255" s="31">
        <f>IF(Table2[[#This Row],[impressions]]=0,0,(Table2[[#This Row],[likes]]+Table2[[#This Row],[comments]]+Table2[[#This Row],[shares]])/Table2[[#This Row],[impressions]])</f>
        <v>4.4423061502686231E-3</v>
      </c>
      <c r="T255" s="27"/>
    </row>
    <row r="256" spans="1:20" ht="15.75">
      <c r="A256" s="23" t="s">
        <v>42</v>
      </c>
      <c r="B256" s="20" t="s">
        <v>48</v>
      </c>
      <c r="C256" s="20" t="s">
        <v>39</v>
      </c>
      <c r="D256" s="20" t="s">
        <v>40</v>
      </c>
      <c r="E256" s="20" t="s">
        <v>47</v>
      </c>
      <c r="F256" s="20">
        <v>50251</v>
      </c>
      <c r="G256" s="20">
        <v>343</v>
      </c>
      <c r="H256" s="20">
        <v>9</v>
      </c>
      <c r="I256" s="20">
        <v>2897.4</v>
      </c>
      <c r="J256" s="20">
        <v>11379.01</v>
      </c>
      <c r="K256" s="20">
        <v>160</v>
      </c>
      <c r="L256" s="20">
        <v>12</v>
      </c>
      <c r="M256" s="20">
        <v>10</v>
      </c>
      <c r="N256" s="29">
        <f>IF(Table2[[#This Row],[impressions]]=0,0,Table2[[#This Row],[spend_inr]]/Table2[[#This Row],[impressions]]*1000)</f>
        <v>57.658554058625704</v>
      </c>
      <c r="O256" s="31">
        <f>IF(Table2[[#This Row],[impressions]]=0,0,Table2[[#This Row],[clicks]]/Table2[[#This Row],[impressions]])</f>
        <v>6.825734811247537E-3</v>
      </c>
      <c r="P256" s="32">
        <f>IF(Table2[[#This Row],[clicks]]=0,0,Table2[[#This Row],[spend_inr]]/Table2[[#This Row],[clicks]])</f>
        <v>8.4472303206997079</v>
      </c>
      <c r="Q256" s="31">
        <f>IF(Table2[[#This Row],[clicks]]=0,0,Table2[[#This Row],[conversions]]/Table2[[#This Row],[clicks]])</f>
        <v>2.6239067055393587E-2</v>
      </c>
      <c r="R256" s="30">
        <f>IF(Table2[[#This Row],[spend_inr]]=0,0,(Table2[[#This Row],[revenue_inr]]-Table2[[#This Row],[spend_inr]])/Table2[[#This Row],[spend_inr]])</f>
        <v>2.927317595085249</v>
      </c>
      <c r="S256" s="31">
        <f>IF(Table2[[#This Row],[impressions]]=0,0,(Table2[[#This Row],[likes]]+Table2[[#This Row],[comments]]+Table2[[#This Row],[shares]])/Table2[[#This Row],[impressions]])</f>
        <v>3.6218184712742034E-3</v>
      </c>
      <c r="T256" s="27"/>
    </row>
    <row r="257" spans="1:20" ht="15.75">
      <c r="A257" s="23" t="s">
        <v>42</v>
      </c>
      <c r="B257" s="20" t="s">
        <v>44</v>
      </c>
      <c r="C257" s="20" t="s">
        <v>54</v>
      </c>
      <c r="D257" s="20" t="s">
        <v>40</v>
      </c>
      <c r="E257" s="20" t="s">
        <v>41</v>
      </c>
      <c r="F257" s="20">
        <v>57262</v>
      </c>
      <c r="G257" s="20">
        <v>254</v>
      </c>
      <c r="H257" s="20">
        <v>5</v>
      </c>
      <c r="I257" s="20">
        <v>2862.56</v>
      </c>
      <c r="J257" s="20">
        <v>7232.21</v>
      </c>
      <c r="K257" s="20">
        <v>101</v>
      </c>
      <c r="L257" s="20">
        <v>12</v>
      </c>
      <c r="M257" s="20">
        <v>10</v>
      </c>
      <c r="N257" s="29">
        <f>IF(Table2[[#This Row],[impressions]]=0,0,Table2[[#This Row],[spend_inr]]/Table2[[#This Row],[impressions]]*1000)</f>
        <v>49.990569662254202</v>
      </c>
      <c r="O257" s="31">
        <f>IF(Table2[[#This Row],[impressions]]=0,0,Table2[[#This Row],[clicks]]/Table2[[#This Row],[impressions]])</f>
        <v>4.4357514582096325E-3</v>
      </c>
      <c r="P257" s="32">
        <f>IF(Table2[[#This Row],[clicks]]=0,0,Table2[[#This Row],[spend_inr]]/Table2[[#This Row],[clicks]])</f>
        <v>11.269921259842519</v>
      </c>
      <c r="Q257" s="31">
        <f>IF(Table2[[#This Row],[clicks]]=0,0,Table2[[#This Row],[conversions]]/Table2[[#This Row],[clicks]])</f>
        <v>1.968503937007874E-2</v>
      </c>
      <c r="R257" s="30">
        <f>IF(Table2[[#This Row],[spend_inr]]=0,0,(Table2[[#This Row],[revenue_inr]]-Table2[[#This Row],[spend_inr]])/Table2[[#This Row],[spend_inr]])</f>
        <v>1.5264832876865462</v>
      </c>
      <c r="S257" s="31">
        <f>IF(Table2[[#This Row],[impressions]]=0,0,(Table2[[#This Row],[likes]]+Table2[[#This Row],[comments]]+Table2[[#This Row],[shares]])/Table2[[#This Row],[impressions]])</f>
        <v>2.1480213754322239E-3</v>
      </c>
      <c r="T257" s="27"/>
    </row>
    <row r="258" spans="1:20" ht="15.75">
      <c r="A258" s="23" t="s">
        <v>52</v>
      </c>
      <c r="B258" s="20" t="s">
        <v>43</v>
      </c>
      <c r="C258" s="20" t="s">
        <v>54</v>
      </c>
      <c r="D258" s="20" t="s">
        <v>46</v>
      </c>
      <c r="E258" s="20" t="s">
        <v>53</v>
      </c>
      <c r="F258" s="20">
        <v>67581</v>
      </c>
      <c r="G258" s="20">
        <v>0</v>
      </c>
      <c r="H258" s="20">
        <v>74</v>
      </c>
      <c r="I258" s="20">
        <v>2797.72</v>
      </c>
      <c r="J258" s="20">
        <v>60764.51</v>
      </c>
      <c r="K258" s="20">
        <v>0</v>
      </c>
      <c r="L258" s="20">
        <v>0</v>
      </c>
      <c r="M258" s="20">
        <v>0</v>
      </c>
      <c r="N258" s="29">
        <f>IF(Table2[[#This Row],[impressions]]=0,0,Table2[[#This Row],[spend_inr]]/Table2[[#This Row],[impressions]]*1000)</f>
        <v>41.398026072416798</v>
      </c>
      <c r="O258" s="31">
        <f>IF(Table2[[#This Row],[impressions]]=0,0,Table2[[#This Row],[clicks]]/Table2[[#This Row],[impressions]])</f>
        <v>0</v>
      </c>
      <c r="P258" s="32">
        <f>IF(Table2[[#This Row],[clicks]]=0,0,Table2[[#This Row],[spend_inr]]/Table2[[#This Row],[clicks]])</f>
        <v>0</v>
      </c>
      <c r="Q258" s="31">
        <f>IF(Table2[[#This Row],[clicks]]=0,0,Table2[[#This Row],[conversions]]/Table2[[#This Row],[clicks]])</f>
        <v>0</v>
      </c>
      <c r="R258" s="30">
        <f>IF(Table2[[#This Row],[spend_inr]]=0,0,(Table2[[#This Row],[revenue_inr]]-Table2[[#This Row],[spend_inr]])/Table2[[#This Row],[spend_inr]])</f>
        <v>20.719296427090633</v>
      </c>
      <c r="S258" s="31">
        <f>IF(Table2[[#This Row],[impressions]]=0,0,(Table2[[#This Row],[likes]]+Table2[[#This Row],[comments]]+Table2[[#This Row],[shares]])/Table2[[#This Row],[impressions]])</f>
        <v>0</v>
      </c>
      <c r="T258" s="27"/>
    </row>
    <row r="259" spans="1:20" ht="15.75">
      <c r="A259" s="23" t="s">
        <v>51</v>
      </c>
      <c r="B259" s="20" t="s">
        <v>43</v>
      </c>
      <c r="C259" s="20" t="s">
        <v>55</v>
      </c>
      <c r="D259" s="20" t="s">
        <v>46</v>
      </c>
      <c r="E259" s="20" t="s">
        <v>50</v>
      </c>
      <c r="F259" s="20">
        <v>20231</v>
      </c>
      <c r="G259" s="20">
        <v>230</v>
      </c>
      <c r="H259" s="20">
        <v>3</v>
      </c>
      <c r="I259" s="20">
        <v>2770.22</v>
      </c>
      <c r="J259" s="20">
        <v>3851.67</v>
      </c>
      <c r="K259" s="20">
        <v>81</v>
      </c>
      <c r="L259" s="20">
        <v>11</v>
      </c>
      <c r="M259" s="20">
        <v>8</v>
      </c>
      <c r="N259" s="29">
        <f>IF(Table2[[#This Row],[impressions]]=0,0,Table2[[#This Row],[spend_inr]]/Table2[[#This Row],[impressions]]*1000)</f>
        <v>136.92946468291234</v>
      </c>
      <c r="O259" s="31">
        <f>IF(Table2[[#This Row],[impressions]]=0,0,Table2[[#This Row],[clicks]]/Table2[[#This Row],[impressions]])</f>
        <v>1.1368691611882755E-2</v>
      </c>
      <c r="P259" s="32">
        <f>IF(Table2[[#This Row],[clicks]]=0,0,Table2[[#This Row],[spend_inr]]/Table2[[#This Row],[clicks]])</f>
        <v>12.044434782608695</v>
      </c>
      <c r="Q259" s="31">
        <f>IF(Table2[[#This Row],[clicks]]=0,0,Table2[[#This Row],[conversions]]/Table2[[#This Row],[clicks]])</f>
        <v>1.3043478260869565E-2</v>
      </c>
      <c r="R259" s="30">
        <f>IF(Table2[[#This Row],[spend_inr]]=0,0,(Table2[[#This Row],[revenue_inr]]-Table2[[#This Row],[spend_inr]])/Table2[[#This Row],[spend_inr]])</f>
        <v>0.39038415721495057</v>
      </c>
      <c r="S259" s="31">
        <f>IF(Table2[[#This Row],[impressions]]=0,0,(Table2[[#This Row],[likes]]+Table2[[#This Row],[comments]]+Table2[[#This Row],[shares]])/Table2[[#This Row],[impressions]])</f>
        <v>4.942909396470763E-3</v>
      </c>
      <c r="T259" s="27"/>
    </row>
    <row r="260" spans="1:20" ht="15.75">
      <c r="A260" s="23" t="s">
        <v>42</v>
      </c>
      <c r="B260" s="20" t="s">
        <v>44</v>
      </c>
      <c r="C260" s="20" t="s">
        <v>45</v>
      </c>
      <c r="D260" s="20" t="s">
        <v>40</v>
      </c>
      <c r="E260" s="20" t="s">
        <v>47</v>
      </c>
      <c r="F260" s="20">
        <v>31163</v>
      </c>
      <c r="G260" s="20">
        <v>290</v>
      </c>
      <c r="H260" s="20">
        <v>10</v>
      </c>
      <c r="I260" s="20">
        <v>2684.43</v>
      </c>
      <c r="J260" s="20">
        <v>13804.62</v>
      </c>
      <c r="K260" s="20">
        <v>143</v>
      </c>
      <c r="L260" s="20">
        <v>7</v>
      </c>
      <c r="M260" s="20">
        <v>8</v>
      </c>
      <c r="N260" s="29">
        <f>IF(Table2[[#This Row],[impressions]]=0,0,Table2[[#This Row],[spend_inr]]/Table2[[#This Row],[impressions]]*1000)</f>
        <v>86.141578153579559</v>
      </c>
      <c r="O260" s="31">
        <f>IF(Table2[[#This Row],[impressions]]=0,0,Table2[[#This Row],[clicks]]/Table2[[#This Row],[impressions]])</f>
        <v>9.3059076468889387E-3</v>
      </c>
      <c r="P260" s="32">
        <f>IF(Table2[[#This Row],[clicks]]=0,0,Table2[[#This Row],[spend_inr]]/Table2[[#This Row],[clicks]])</f>
        <v>9.256655172413792</v>
      </c>
      <c r="Q260" s="31">
        <f>IF(Table2[[#This Row],[clicks]]=0,0,Table2[[#This Row],[conversions]]/Table2[[#This Row],[clicks]])</f>
        <v>3.4482758620689655E-2</v>
      </c>
      <c r="R260" s="30">
        <f>IF(Table2[[#This Row],[spend_inr]]=0,0,(Table2[[#This Row],[revenue_inr]]-Table2[[#This Row],[spend_inr]])/Table2[[#This Row],[spend_inr]])</f>
        <v>4.1424771739251911</v>
      </c>
      <c r="S260" s="31">
        <f>IF(Table2[[#This Row],[impressions]]=0,0,(Table2[[#This Row],[likes]]+Table2[[#This Row],[comments]]+Table2[[#This Row],[shares]])/Table2[[#This Row],[impressions]])</f>
        <v>5.070115200718801E-3</v>
      </c>
      <c r="T260" s="27"/>
    </row>
    <row r="261" spans="1:20" ht="15.75">
      <c r="A261" s="23" t="s">
        <v>37</v>
      </c>
      <c r="B261" s="20" t="s">
        <v>38</v>
      </c>
      <c r="C261" s="20" t="s">
        <v>39</v>
      </c>
      <c r="D261" s="20" t="s">
        <v>46</v>
      </c>
      <c r="E261" s="20" t="s">
        <v>47</v>
      </c>
      <c r="F261" s="20">
        <v>24288</v>
      </c>
      <c r="G261" s="20">
        <v>326</v>
      </c>
      <c r="H261" s="20">
        <v>9</v>
      </c>
      <c r="I261" s="20">
        <v>2662.8</v>
      </c>
      <c r="J261" s="20">
        <v>13388.18</v>
      </c>
      <c r="K261" s="20">
        <v>144</v>
      </c>
      <c r="L261" s="20">
        <v>18</v>
      </c>
      <c r="M261" s="20">
        <v>6</v>
      </c>
      <c r="N261" s="29">
        <f>IF(Table2[[#This Row],[impressions]]=0,0,Table2[[#This Row],[spend_inr]]/Table2[[#This Row],[impressions]]*1000)</f>
        <v>109.63438735177866</v>
      </c>
      <c r="O261" s="31">
        <f>IF(Table2[[#This Row],[impressions]]=0,0,Table2[[#This Row],[clicks]]/Table2[[#This Row],[impressions]])</f>
        <v>1.3422266139657444E-2</v>
      </c>
      <c r="P261" s="32">
        <f>IF(Table2[[#This Row],[clicks]]=0,0,Table2[[#This Row],[spend_inr]]/Table2[[#This Row],[clicks]])</f>
        <v>8.1680981595092028</v>
      </c>
      <c r="Q261" s="31">
        <f>IF(Table2[[#This Row],[clicks]]=0,0,Table2[[#This Row],[conversions]]/Table2[[#This Row],[clicks]])</f>
        <v>2.7607361963190184E-2</v>
      </c>
      <c r="R261" s="30">
        <f>IF(Table2[[#This Row],[spend_inr]]=0,0,(Table2[[#This Row],[revenue_inr]]-Table2[[#This Row],[spend_inr]])/Table2[[#This Row],[spend_inr]])</f>
        <v>4.027857893946222</v>
      </c>
      <c r="S261" s="31">
        <f>IF(Table2[[#This Row],[impressions]]=0,0,(Table2[[#This Row],[likes]]+Table2[[#This Row],[comments]]+Table2[[#This Row],[shares]])/Table2[[#This Row],[impressions]])</f>
        <v>6.91699604743083E-3</v>
      </c>
      <c r="T261" s="27"/>
    </row>
    <row r="262" spans="1:20" ht="15.75">
      <c r="A262" s="23" t="s">
        <v>52</v>
      </c>
      <c r="B262" s="20" t="s">
        <v>48</v>
      </c>
      <c r="C262" s="20" t="s">
        <v>55</v>
      </c>
      <c r="D262" s="20" t="s">
        <v>40</v>
      </c>
      <c r="E262" s="20" t="s">
        <v>53</v>
      </c>
      <c r="F262" s="20">
        <v>68670</v>
      </c>
      <c r="G262" s="20">
        <v>1689</v>
      </c>
      <c r="H262" s="20">
        <v>0</v>
      </c>
      <c r="I262" s="20">
        <v>2662.61</v>
      </c>
      <c r="J262" s="20">
        <v>43768.92</v>
      </c>
      <c r="K262" s="20">
        <v>0</v>
      </c>
      <c r="L262" s="20">
        <v>0</v>
      </c>
      <c r="M262" s="20">
        <v>0</v>
      </c>
      <c r="N262" s="29">
        <f>IF(Table2[[#This Row],[impressions]]=0,0,Table2[[#This Row],[spend_inr]]/Table2[[#This Row],[impressions]]*1000)</f>
        <v>38.773991553808067</v>
      </c>
      <c r="O262" s="31">
        <f>IF(Table2[[#This Row],[impressions]]=0,0,Table2[[#This Row],[clicks]]/Table2[[#This Row],[impressions]])</f>
        <v>2.4595893403232854E-2</v>
      </c>
      <c r="P262" s="32">
        <f>IF(Table2[[#This Row],[clicks]]=0,0,Table2[[#This Row],[spend_inr]]/Table2[[#This Row],[clicks]])</f>
        <v>1.5764416814683244</v>
      </c>
      <c r="Q262" s="31">
        <f>IF(Table2[[#This Row],[clicks]]=0,0,Table2[[#This Row],[conversions]]/Table2[[#This Row],[clicks]])</f>
        <v>0</v>
      </c>
      <c r="R262" s="30">
        <f>IF(Table2[[#This Row],[spend_inr]]=0,0,(Table2[[#This Row],[revenue_inr]]-Table2[[#This Row],[spend_inr]])/Table2[[#This Row],[spend_inr]])</f>
        <v>15.438351842740769</v>
      </c>
      <c r="S262" s="31">
        <f>IF(Table2[[#This Row],[impressions]]=0,0,(Table2[[#This Row],[likes]]+Table2[[#This Row],[comments]]+Table2[[#This Row],[shares]])/Table2[[#This Row],[impressions]])</f>
        <v>0</v>
      </c>
      <c r="T262" s="27"/>
    </row>
    <row r="263" spans="1:20" ht="15.75">
      <c r="A263" s="23" t="s">
        <v>52</v>
      </c>
      <c r="B263" s="20" t="s">
        <v>48</v>
      </c>
      <c r="C263" s="20" t="s">
        <v>45</v>
      </c>
      <c r="D263" s="20" t="s">
        <v>40</v>
      </c>
      <c r="E263" s="20" t="s">
        <v>53</v>
      </c>
      <c r="F263" s="20">
        <v>18518</v>
      </c>
      <c r="G263" s="20">
        <v>465</v>
      </c>
      <c r="H263" s="20">
        <v>17</v>
      </c>
      <c r="I263" s="20">
        <v>2654.22</v>
      </c>
      <c r="J263" s="20">
        <v>15029.95</v>
      </c>
      <c r="K263" s="20">
        <v>0</v>
      </c>
      <c r="L263" s="20">
        <v>0</v>
      </c>
      <c r="M263" s="20">
        <v>0</v>
      </c>
      <c r="N263" s="29">
        <f>IF(Table2[[#This Row],[impressions]]=0,0,Table2[[#This Row],[spend_inr]]/Table2[[#This Row],[impressions]]*1000)</f>
        <v>143.33189329301217</v>
      </c>
      <c r="O263" s="31">
        <f>IF(Table2[[#This Row],[impressions]]=0,0,Table2[[#This Row],[clicks]]/Table2[[#This Row],[impressions]])</f>
        <v>2.5110703099686792E-2</v>
      </c>
      <c r="P263" s="32">
        <f>IF(Table2[[#This Row],[clicks]]=0,0,Table2[[#This Row],[spend_inr]]/Table2[[#This Row],[clicks]])</f>
        <v>5.7079999999999993</v>
      </c>
      <c r="Q263" s="31">
        <f>IF(Table2[[#This Row],[clicks]]=0,0,Table2[[#This Row],[conversions]]/Table2[[#This Row],[clicks]])</f>
        <v>3.6559139784946237E-2</v>
      </c>
      <c r="R263" s="30">
        <f>IF(Table2[[#This Row],[spend_inr]]=0,0,(Table2[[#This Row],[revenue_inr]]-Table2[[#This Row],[spend_inr]])/Table2[[#This Row],[spend_inr]])</f>
        <v>4.66266172359488</v>
      </c>
      <c r="S263" s="31">
        <f>IF(Table2[[#This Row],[impressions]]=0,0,(Table2[[#This Row],[likes]]+Table2[[#This Row],[comments]]+Table2[[#This Row],[shares]])/Table2[[#This Row],[impressions]])</f>
        <v>0</v>
      </c>
      <c r="T263" s="27"/>
    </row>
    <row r="264" spans="1:20" ht="15.75">
      <c r="A264" s="23" t="s">
        <v>52</v>
      </c>
      <c r="B264" s="20" t="s">
        <v>38</v>
      </c>
      <c r="C264" s="20" t="s">
        <v>45</v>
      </c>
      <c r="D264" s="20" t="s">
        <v>40</v>
      </c>
      <c r="E264" s="20" t="s">
        <v>56</v>
      </c>
      <c r="F264" s="20">
        <v>69985</v>
      </c>
      <c r="G264" s="20">
        <v>2959</v>
      </c>
      <c r="H264" s="20">
        <v>104</v>
      </c>
      <c r="I264" s="20">
        <v>2649.93</v>
      </c>
      <c r="J264" s="20">
        <v>52550.21</v>
      </c>
      <c r="K264" s="20">
        <v>0</v>
      </c>
      <c r="L264" s="20">
        <v>0</v>
      </c>
      <c r="M264" s="20">
        <v>0</v>
      </c>
      <c r="N264" s="29">
        <f>IF(Table2[[#This Row],[impressions]]=0,0,Table2[[#This Row],[spend_inr]]/Table2[[#This Row],[impressions]]*1000)</f>
        <v>37.864256626419944</v>
      </c>
      <c r="O264" s="31">
        <f>IF(Table2[[#This Row],[impressions]]=0,0,Table2[[#This Row],[clicks]]/Table2[[#This Row],[impressions]])</f>
        <v>4.2280488676144888E-2</v>
      </c>
      <c r="P264" s="32">
        <f>IF(Table2[[#This Row],[clicks]]=0,0,Table2[[#This Row],[spend_inr]]/Table2[[#This Row],[clicks]])</f>
        <v>0.89554917201757345</v>
      </c>
      <c r="Q264" s="31">
        <f>IF(Table2[[#This Row],[clicks]]=0,0,Table2[[#This Row],[conversions]]/Table2[[#This Row],[clicks]])</f>
        <v>3.5147009124704295E-2</v>
      </c>
      <c r="R264" s="30">
        <f>IF(Table2[[#This Row],[spend_inr]]=0,0,(Table2[[#This Row],[revenue_inr]]-Table2[[#This Row],[spend_inr]])/Table2[[#This Row],[spend_inr]])</f>
        <v>18.830791756763386</v>
      </c>
      <c r="S264" s="31">
        <f>IF(Table2[[#This Row],[impressions]]=0,0,(Table2[[#This Row],[likes]]+Table2[[#This Row],[comments]]+Table2[[#This Row],[shares]])/Table2[[#This Row],[impressions]])</f>
        <v>0</v>
      </c>
      <c r="T264" s="27"/>
    </row>
    <row r="265" spans="1:20" ht="15.75">
      <c r="A265" s="23" t="s">
        <v>37</v>
      </c>
      <c r="B265" s="20" t="s">
        <v>38</v>
      </c>
      <c r="C265" s="20" t="s">
        <v>45</v>
      </c>
      <c r="D265" s="20" t="s">
        <v>46</v>
      </c>
      <c r="E265" s="20" t="s">
        <v>50</v>
      </c>
      <c r="F265" s="20">
        <v>14708</v>
      </c>
      <c r="G265" s="20">
        <v>206</v>
      </c>
      <c r="H265" s="20">
        <v>5</v>
      </c>
      <c r="I265" s="20">
        <v>2631.13</v>
      </c>
      <c r="J265" s="20">
        <v>3492.09</v>
      </c>
      <c r="K265" s="20">
        <v>100</v>
      </c>
      <c r="L265" s="20">
        <v>9</v>
      </c>
      <c r="M265" s="20">
        <v>6</v>
      </c>
      <c r="N265" s="29">
        <f>IF(Table2[[#This Row],[impressions]]=0,0,Table2[[#This Row],[spend_inr]]/Table2[[#This Row],[impressions]]*1000)</f>
        <v>178.89107968452544</v>
      </c>
      <c r="O265" s="31">
        <f>IF(Table2[[#This Row],[impressions]]=0,0,Table2[[#This Row],[clicks]]/Table2[[#This Row],[impressions]])</f>
        <v>1.4005983138428066E-2</v>
      </c>
      <c r="P265" s="32">
        <f>IF(Table2[[#This Row],[clicks]]=0,0,Table2[[#This Row],[spend_inr]]/Table2[[#This Row],[clicks]])</f>
        <v>12.77247572815534</v>
      </c>
      <c r="Q265" s="31">
        <f>IF(Table2[[#This Row],[clicks]]=0,0,Table2[[#This Row],[conversions]]/Table2[[#This Row],[clicks]])</f>
        <v>2.4271844660194174E-2</v>
      </c>
      <c r="R265" s="30">
        <f>IF(Table2[[#This Row],[spend_inr]]=0,0,(Table2[[#This Row],[revenue_inr]]-Table2[[#This Row],[spend_inr]])/Table2[[#This Row],[spend_inr]])</f>
        <v>0.32722062383842682</v>
      </c>
      <c r="S265" s="31">
        <f>IF(Table2[[#This Row],[impressions]]=0,0,(Table2[[#This Row],[likes]]+Table2[[#This Row],[comments]]+Table2[[#This Row],[shares]])/Table2[[#This Row],[impressions]])</f>
        <v>7.8188740821321726E-3</v>
      </c>
      <c r="T265" s="27"/>
    </row>
    <row r="266" spans="1:20" ht="15.75">
      <c r="A266" s="23" t="s">
        <v>37</v>
      </c>
      <c r="B266" s="20" t="s">
        <v>48</v>
      </c>
      <c r="C266" s="20" t="s">
        <v>39</v>
      </c>
      <c r="D266" s="20" t="s">
        <v>40</v>
      </c>
      <c r="E266" s="20" t="s">
        <v>41</v>
      </c>
      <c r="F266" s="20">
        <v>46121</v>
      </c>
      <c r="G266" s="20">
        <v>755</v>
      </c>
      <c r="H266" s="20">
        <v>12</v>
      </c>
      <c r="I266" s="20">
        <v>2599.16</v>
      </c>
      <c r="J266" s="20">
        <v>13023.01</v>
      </c>
      <c r="K266" s="20">
        <v>283</v>
      </c>
      <c r="L266" s="20">
        <v>38</v>
      </c>
      <c r="M266" s="20">
        <v>11</v>
      </c>
      <c r="N266" s="29">
        <f>IF(Table2[[#This Row],[impressions]]=0,0,Table2[[#This Row],[spend_inr]]/Table2[[#This Row],[impressions]]*1000)</f>
        <v>56.355239478762385</v>
      </c>
      <c r="O266" s="31">
        <f>IF(Table2[[#This Row],[impressions]]=0,0,Table2[[#This Row],[clicks]]/Table2[[#This Row],[impressions]])</f>
        <v>1.636998330478524E-2</v>
      </c>
      <c r="P266" s="32">
        <f>IF(Table2[[#This Row],[clicks]]=0,0,Table2[[#This Row],[spend_inr]]/Table2[[#This Row],[clicks]])</f>
        <v>3.4425960264900661</v>
      </c>
      <c r="Q266" s="31">
        <f>IF(Table2[[#This Row],[clicks]]=0,0,Table2[[#This Row],[conversions]]/Table2[[#This Row],[clicks]])</f>
        <v>1.5894039735099338E-2</v>
      </c>
      <c r="R266" s="30">
        <f>IF(Table2[[#This Row],[spend_inr]]=0,0,(Table2[[#This Row],[revenue_inr]]-Table2[[#This Row],[spend_inr]])/Table2[[#This Row],[spend_inr]])</f>
        <v>4.0104687668323615</v>
      </c>
      <c r="S266" s="31">
        <f>IF(Table2[[#This Row],[impressions]]=0,0,(Table2[[#This Row],[likes]]+Table2[[#This Row],[comments]]+Table2[[#This Row],[shares]])/Table2[[#This Row],[impressions]])</f>
        <v>7.1984562346870187E-3</v>
      </c>
      <c r="T266" s="27"/>
    </row>
    <row r="267" spans="1:20" ht="15.75">
      <c r="A267" s="23" t="s">
        <v>37</v>
      </c>
      <c r="B267" s="20" t="s">
        <v>48</v>
      </c>
      <c r="C267" s="20" t="s">
        <v>45</v>
      </c>
      <c r="D267" s="20" t="s">
        <v>40</v>
      </c>
      <c r="E267" s="20" t="s">
        <v>47</v>
      </c>
      <c r="F267" s="20">
        <v>17196</v>
      </c>
      <c r="G267" s="20">
        <v>0</v>
      </c>
      <c r="H267" s="20">
        <v>5</v>
      </c>
      <c r="I267" s="20">
        <v>2515.4</v>
      </c>
      <c r="J267" s="20">
        <v>3888.19</v>
      </c>
      <c r="K267" s="20">
        <v>120</v>
      </c>
      <c r="L267" s="20">
        <v>7</v>
      </c>
      <c r="M267" s="20">
        <v>6</v>
      </c>
      <c r="N267" s="29">
        <f>IF(Table2[[#This Row],[impressions]]=0,0,Table2[[#This Row],[spend_inr]]/Table2[[#This Row],[impressions]]*1000)</f>
        <v>146.27820423354268</v>
      </c>
      <c r="O267" s="31">
        <f>IF(Table2[[#This Row],[impressions]]=0,0,Table2[[#This Row],[clicks]]/Table2[[#This Row],[impressions]])</f>
        <v>0</v>
      </c>
      <c r="P267" s="32">
        <f>IF(Table2[[#This Row],[clicks]]=0,0,Table2[[#This Row],[spend_inr]]/Table2[[#This Row],[clicks]])</f>
        <v>0</v>
      </c>
      <c r="Q267" s="31">
        <f>IF(Table2[[#This Row],[clicks]]=0,0,Table2[[#This Row],[conversions]]/Table2[[#This Row],[clicks]])</f>
        <v>0</v>
      </c>
      <c r="R267" s="30">
        <f>IF(Table2[[#This Row],[spend_inr]]=0,0,(Table2[[#This Row],[revenue_inr]]-Table2[[#This Row],[spend_inr]])/Table2[[#This Row],[spend_inr]])</f>
        <v>0.54575415440884145</v>
      </c>
      <c r="S267" s="31">
        <f>IF(Table2[[#This Row],[impressions]]=0,0,(Table2[[#This Row],[likes]]+Table2[[#This Row],[comments]]+Table2[[#This Row],[shares]])/Table2[[#This Row],[impressions]])</f>
        <v>7.7343568271691088E-3</v>
      </c>
      <c r="T267" s="27"/>
    </row>
    <row r="268" spans="1:20" ht="15.75">
      <c r="A268" s="23" t="s">
        <v>52</v>
      </c>
      <c r="B268" s="20" t="s">
        <v>43</v>
      </c>
      <c r="C268" s="20" t="s">
        <v>45</v>
      </c>
      <c r="D268" s="20" t="s">
        <v>46</v>
      </c>
      <c r="E268" s="20" t="s">
        <v>56</v>
      </c>
      <c r="F268" s="20">
        <v>10478</v>
      </c>
      <c r="G268" s="20">
        <v>328</v>
      </c>
      <c r="H268" s="20">
        <v>13</v>
      </c>
      <c r="I268" s="20">
        <v>2481.85</v>
      </c>
      <c r="J268" s="20">
        <v>12731.37</v>
      </c>
      <c r="K268" s="20">
        <v>0</v>
      </c>
      <c r="L268" s="20">
        <v>0</v>
      </c>
      <c r="M268" s="20">
        <v>0</v>
      </c>
      <c r="N268" s="29">
        <f>IF(Table2[[#This Row],[impressions]]=0,0,Table2[[#This Row],[spend_inr]]/Table2[[#This Row],[impressions]]*1000)</f>
        <v>236.86295094483677</v>
      </c>
      <c r="O268" s="31">
        <f>IF(Table2[[#This Row],[impressions]]=0,0,Table2[[#This Row],[clicks]]/Table2[[#This Row],[impressions]])</f>
        <v>3.1303683909142968E-2</v>
      </c>
      <c r="P268" s="32">
        <f>IF(Table2[[#This Row],[clicks]]=0,0,Table2[[#This Row],[spend_inr]]/Table2[[#This Row],[clicks]])</f>
        <v>7.5666158536585364</v>
      </c>
      <c r="Q268" s="31">
        <f>IF(Table2[[#This Row],[clicks]]=0,0,Table2[[#This Row],[conversions]]/Table2[[#This Row],[clicks]])</f>
        <v>3.9634146341463415E-2</v>
      </c>
      <c r="R268" s="30">
        <f>IF(Table2[[#This Row],[spend_inr]]=0,0,(Table2[[#This Row],[revenue_inr]]-Table2[[#This Row],[spend_inr]])/Table2[[#This Row],[spend_inr]])</f>
        <v>4.1297902774140258</v>
      </c>
      <c r="S268" s="31">
        <f>IF(Table2[[#This Row],[impressions]]=0,0,(Table2[[#This Row],[likes]]+Table2[[#This Row],[comments]]+Table2[[#This Row],[shares]])/Table2[[#This Row],[impressions]])</f>
        <v>0</v>
      </c>
      <c r="T268" s="27"/>
    </row>
    <row r="269" spans="1:20" ht="15.75">
      <c r="A269" s="23" t="s">
        <v>52</v>
      </c>
      <c r="B269" s="20" t="s">
        <v>44</v>
      </c>
      <c r="C269" s="20" t="s">
        <v>55</v>
      </c>
      <c r="D269" s="20" t="s">
        <v>46</v>
      </c>
      <c r="E269" s="20" t="s">
        <v>53</v>
      </c>
      <c r="F269" s="20">
        <v>41801</v>
      </c>
      <c r="G269" s="20">
        <v>1694</v>
      </c>
      <c r="H269" s="20">
        <v>55</v>
      </c>
      <c r="I269" s="20">
        <v>2476.6799999999998</v>
      </c>
      <c r="J269" s="20">
        <v>0</v>
      </c>
      <c r="K269" s="20">
        <v>0</v>
      </c>
      <c r="L269" s="20">
        <v>0</v>
      </c>
      <c r="M269" s="20">
        <v>0</v>
      </c>
      <c r="N269" s="29">
        <f>IF(Table2[[#This Row],[impressions]]=0,0,Table2[[#This Row],[spend_inr]]/Table2[[#This Row],[impressions]]*1000)</f>
        <v>59.249300255974731</v>
      </c>
      <c r="O269" s="31">
        <f>IF(Table2[[#This Row],[impressions]]=0,0,Table2[[#This Row],[clicks]]/Table2[[#This Row],[impressions]])</f>
        <v>4.0525346283581731E-2</v>
      </c>
      <c r="P269" s="32">
        <f>IF(Table2[[#This Row],[clicks]]=0,0,Table2[[#This Row],[spend_inr]]/Table2[[#This Row],[clicks]])</f>
        <v>1.4620306965761509</v>
      </c>
      <c r="Q269" s="31">
        <f>IF(Table2[[#This Row],[clicks]]=0,0,Table2[[#This Row],[conversions]]/Table2[[#This Row],[clicks]])</f>
        <v>3.2467532467532464E-2</v>
      </c>
      <c r="R269" s="30">
        <f>IF(Table2[[#This Row],[spend_inr]]=0,0,(Table2[[#This Row],[revenue_inr]]-Table2[[#This Row],[spend_inr]])/Table2[[#This Row],[spend_inr]])</f>
        <v>-1</v>
      </c>
      <c r="S269" s="31">
        <f>IF(Table2[[#This Row],[impressions]]=0,0,(Table2[[#This Row],[likes]]+Table2[[#This Row],[comments]]+Table2[[#This Row],[shares]])/Table2[[#This Row],[impressions]])</f>
        <v>0</v>
      </c>
      <c r="T269" s="27"/>
    </row>
    <row r="270" spans="1:20" ht="15.75">
      <c r="A270" s="23" t="s">
        <v>52</v>
      </c>
      <c r="B270" s="20" t="s">
        <v>38</v>
      </c>
      <c r="C270" s="20" t="s">
        <v>49</v>
      </c>
      <c r="D270" s="20" t="s">
        <v>46</v>
      </c>
      <c r="E270" s="20" t="s">
        <v>53</v>
      </c>
      <c r="F270" s="20">
        <v>74635</v>
      </c>
      <c r="G270" s="20">
        <v>2138</v>
      </c>
      <c r="H270" s="20">
        <v>90</v>
      </c>
      <c r="I270" s="20">
        <v>2471.5100000000002</v>
      </c>
      <c r="J270" s="20">
        <v>87129.95</v>
      </c>
      <c r="K270" s="20">
        <v>0</v>
      </c>
      <c r="L270" s="20">
        <v>0</v>
      </c>
      <c r="M270" s="20">
        <v>0</v>
      </c>
      <c r="N270" s="29">
        <f>IF(Table2[[#This Row],[impressions]]=0,0,Table2[[#This Row],[spend_inr]]/Table2[[#This Row],[impressions]]*1000)</f>
        <v>33.114624505928859</v>
      </c>
      <c r="O270" s="31">
        <f>IF(Table2[[#This Row],[impressions]]=0,0,Table2[[#This Row],[clicks]]/Table2[[#This Row],[impressions]])</f>
        <v>2.8646077577544046E-2</v>
      </c>
      <c r="P270" s="32">
        <f>IF(Table2[[#This Row],[clicks]]=0,0,Table2[[#This Row],[spend_inr]]/Table2[[#This Row],[clicks]])</f>
        <v>1.1559915809167447</v>
      </c>
      <c r="Q270" s="31">
        <f>IF(Table2[[#This Row],[clicks]]=0,0,Table2[[#This Row],[conversions]]/Table2[[#This Row],[clicks]])</f>
        <v>4.2095416276894296E-2</v>
      </c>
      <c r="R270" s="30">
        <f>IF(Table2[[#This Row],[spend_inr]]=0,0,(Table2[[#This Row],[revenue_inr]]-Table2[[#This Row],[spend_inr]])/Table2[[#This Row],[spend_inr]])</f>
        <v>34.253731524452661</v>
      </c>
      <c r="S270" s="31">
        <f>IF(Table2[[#This Row],[impressions]]=0,0,(Table2[[#This Row],[likes]]+Table2[[#This Row],[comments]]+Table2[[#This Row],[shares]])/Table2[[#This Row],[impressions]])</f>
        <v>0</v>
      </c>
      <c r="T270" s="27"/>
    </row>
    <row r="271" spans="1:20" ht="15.75">
      <c r="A271" s="23" t="s">
        <v>37</v>
      </c>
      <c r="B271" s="20" t="s">
        <v>48</v>
      </c>
      <c r="C271" s="20" t="s">
        <v>55</v>
      </c>
      <c r="D271" s="20" t="s">
        <v>40</v>
      </c>
      <c r="E271" s="20" t="s">
        <v>50</v>
      </c>
      <c r="F271" s="20">
        <v>24667</v>
      </c>
      <c r="G271" s="20">
        <v>305</v>
      </c>
      <c r="H271" s="20">
        <v>11</v>
      </c>
      <c r="I271" s="20">
        <v>2447.6799999999998</v>
      </c>
      <c r="J271" s="20">
        <v>15808.85</v>
      </c>
      <c r="K271" s="20">
        <v>120</v>
      </c>
      <c r="L271" s="20">
        <v>11</v>
      </c>
      <c r="M271" s="20">
        <v>9</v>
      </c>
      <c r="N271" s="29">
        <f>IF(Table2[[#This Row],[impressions]]=0,0,Table2[[#This Row],[spend_inr]]/Table2[[#This Row],[impressions]]*1000)</f>
        <v>99.22892933879271</v>
      </c>
      <c r="O271" s="31">
        <f>IF(Table2[[#This Row],[impressions]]=0,0,Table2[[#This Row],[clicks]]/Table2[[#This Row],[impressions]])</f>
        <v>1.2364697774354401E-2</v>
      </c>
      <c r="P271" s="32">
        <f>IF(Table2[[#This Row],[clicks]]=0,0,Table2[[#This Row],[spend_inr]]/Table2[[#This Row],[clicks]])</f>
        <v>8.0251803278688527</v>
      </c>
      <c r="Q271" s="31">
        <f>IF(Table2[[#This Row],[clicks]]=0,0,Table2[[#This Row],[conversions]]/Table2[[#This Row],[clicks]])</f>
        <v>3.6065573770491806E-2</v>
      </c>
      <c r="R271" s="30">
        <f>IF(Table2[[#This Row],[spend_inr]]=0,0,(Table2[[#This Row],[revenue_inr]]-Table2[[#This Row],[spend_inr]])/Table2[[#This Row],[spend_inr]])</f>
        <v>5.458707837625834</v>
      </c>
      <c r="S271" s="31">
        <f>IF(Table2[[#This Row],[impressions]]=0,0,(Table2[[#This Row],[likes]]+Table2[[#This Row],[comments]]+Table2[[#This Row],[shares]])/Table2[[#This Row],[impressions]])</f>
        <v>5.6755989783921837E-3</v>
      </c>
      <c r="T271" s="27"/>
    </row>
    <row r="272" spans="1:20" ht="15.75">
      <c r="A272" s="23" t="s">
        <v>42</v>
      </c>
      <c r="B272" s="20" t="s">
        <v>38</v>
      </c>
      <c r="C272" s="20" t="s">
        <v>49</v>
      </c>
      <c r="D272" s="20" t="s">
        <v>46</v>
      </c>
      <c r="E272" s="20" t="s">
        <v>50</v>
      </c>
      <c r="F272" s="20">
        <v>72628</v>
      </c>
      <c r="G272" s="20">
        <v>834</v>
      </c>
      <c r="H272" s="20">
        <v>19</v>
      </c>
      <c r="I272" s="20">
        <v>2430.02</v>
      </c>
      <c r="J272" s="20">
        <v>17330.54</v>
      </c>
      <c r="K272" s="20">
        <v>256</v>
      </c>
      <c r="L272" s="20">
        <v>19</v>
      </c>
      <c r="M272" s="20">
        <v>10</v>
      </c>
      <c r="N272" s="29">
        <f>IF(Table2[[#This Row],[impressions]]=0,0,Table2[[#This Row],[spend_inr]]/Table2[[#This Row],[impressions]]*1000)</f>
        <v>33.458445778487636</v>
      </c>
      <c r="O272" s="31">
        <f>IF(Table2[[#This Row],[impressions]]=0,0,Table2[[#This Row],[clicks]]/Table2[[#This Row],[impressions]])</f>
        <v>1.1483174533237869E-2</v>
      </c>
      <c r="P272" s="32">
        <f>IF(Table2[[#This Row],[clicks]]=0,0,Table2[[#This Row],[spend_inr]]/Table2[[#This Row],[clicks]])</f>
        <v>2.9136930455635492</v>
      </c>
      <c r="Q272" s="31">
        <f>IF(Table2[[#This Row],[clicks]]=0,0,Table2[[#This Row],[conversions]]/Table2[[#This Row],[clicks]])</f>
        <v>2.2781774580335732E-2</v>
      </c>
      <c r="R272" s="30">
        <f>IF(Table2[[#This Row],[spend_inr]]=0,0,(Table2[[#This Row],[revenue_inr]]-Table2[[#This Row],[spend_inr]])/Table2[[#This Row],[spend_inr]])</f>
        <v>6.1318507666603566</v>
      </c>
      <c r="S272" s="31">
        <f>IF(Table2[[#This Row],[impressions]]=0,0,(Table2[[#This Row],[likes]]+Table2[[#This Row],[comments]]+Table2[[#This Row],[shares]])/Table2[[#This Row],[impressions]])</f>
        <v>3.9241064052431569E-3</v>
      </c>
      <c r="T272" s="27"/>
    </row>
    <row r="273" spans="1:20" ht="15.75">
      <c r="A273" s="23" t="s">
        <v>52</v>
      </c>
      <c r="B273" s="20" t="s">
        <v>38</v>
      </c>
      <c r="C273" s="20" t="s">
        <v>54</v>
      </c>
      <c r="D273" s="20" t="s">
        <v>40</v>
      </c>
      <c r="E273" s="20" t="s">
        <v>53</v>
      </c>
      <c r="F273" s="20">
        <v>72330</v>
      </c>
      <c r="G273" s="20">
        <v>2114</v>
      </c>
      <c r="H273" s="20">
        <v>106</v>
      </c>
      <c r="I273" s="20">
        <v>2374.2800000000002</v>
      </c>
      <c r="J273" s="20">
        <v>82041.05</v>
      </c>
      <c r="K273" s="20">
        <v>0</v>
      </c>
      <c r="L273" s="20">
        <v>0</v>
      </c>
      <c r="M273" s="20">
        <v>0</v>
      </c>
      <c r="N273" s="29">
        <f>IF(Table2[[#This Row],[impressions]]=0,0,Table2[[#This Row],[spend_inr]]/Table2[[#This Row],[impressions]]*1000)</f>
        <v>32.825660168671369</v>
      </c>
      <c r="O273" s="31">
        <f>IF(Table2[[#This Row],[impressions]]=0,0,Table2[[#This Row],[clicks]]/Table2[[#This Row],[impressions]])</f>
        <v>2.922715332503802E-2</v>
      </c>
      <c r="P273" s="32">
        <f>IF(Table2[[#This Row],[clicks]]=0,0,Table2[[#This Row],[spend_inr]]/Table2[[#This Row],[clicks]])</f>
        <v>1.1231220435193947</v>
      </c>
      <c r="Q273" s="31">
        <f>IF(Table2[[#This Row],[clicks]]=0,0,Table2[[#This Row],[conversions]]/Table2[[#This Row],[clicks]])</f>
        <v>5.0141911069063384E-2</v>
      </c>
      <c r="R273" s="30">
        <f>IF(Table2[[#This Row],[spend_inr]]=0,0,(Table2[[#This Row],[revenue_inr]]-Table2[[#This Row],[spend_inr]])/Table2[[#This Row],[spend_inr]])</f>
        <v>33.554075340734876</v>
      </c>
      <c r="S273" s="31">
        <f>IF(Table2[[#This Row],[impressions]]=0,0,(Table2[[#This Row],[likes]]+Table2[[#This Row],[comments]]+Table2[[#This Row],[shares]])/Table2[[#This Row],[impressions]])</f>
        <v>0</v>
      </c>
      <c r="T273" s="27"/>
    </row>
    <row r="274" spans="1:20" ht="15.75">
      <c r="A274" s="23" t="s">
        <v>51</v>
      </c>
      <c r="B274" s="20" t="s">
        <v>38</v>
      </c>
      <c r="C274" s="20" t="s">
        <v>49</v>
      </c>
      <c r="D274" s="20" t="s">
        <v>40</v>
      </c>
      <c r="E274" s="20" t="s">
        <v>65</v>
      </c>
      <c r="F274" s="20">
        <v>20835</v>
      </c>
      <c r="G274" s="20">
        <v>191</v>
      </c>
      <c r="H274" s="20">
        <v>3</v>
      </c>
      <c r="I274" s="20">
        <v>2330.11</v>
      </c>
      <c r="J274" s="20">
        <v>4416.41</v>
      </c>
      <c r="K274" s="20">
        <v>95</v>
      </c>
      <c r="L274" s="20">
        <v>8</v>
      </c>
      <c r="M274" s="20">
        <v>7</v>
      </c>
      <c r="N274" s="29">
        <f>IF(Table2[[#This Row],[impressions]]=0,0,Table2[[#This Row],[spend_inr]]/Table2[[#This Row],[impressions]]*1000)</f>
        <v>111.83633309335255</v>
      </c>
      <c r="O274" s="31">
        <f>IF(Table2[[#This Row],[impressions]]=0,0,Table2[[#This Row],[clicks]]/Table2[[#This Row],[impressions]])</f>
        <v>9.1672666186705058E-3</v>
      </c>
      <c r="P274" s="32">
        <f>IF(Table2[[#This Row],[clicks]]=0,0,Table2[[#This Row],[spend_inr]]/Table2[[#This Row],[clicks]])</f>
        <v>12.199528795811519</v>
      </c>
      <c r="Q274" s="31">
        <f>IF(Table2[[#This Row],[clicks]]=0,0,Table2[[#This Row],[conversions]]/Table2[[#This Row],[clicks]])</f>
        <v>1.5706806282722512E-2</v>
      </c>
      <c r="R274" s="30">
        <f>IF(Table2[[#This Row],[spend_inr]]=0,0,(Table2[[#This Row],[revenue_inr]]-Table2[[#This Row],[spend_inr]])/Table2[[#This Row],[spend_inr]])</f>
        <v>0.89536545484977093</v>
      </c>
      <c r="S274" s="31">
        <f>IF(Table2[[#This Row],[impressions]]=0,0,(Table2[[#This Row],[likes]]+Table2[[#This Row],[comments]]+Table2[[#This Row],[shares]])/Table2[[#This Row],[impressions]])</f>
        <v>5.2795776337892968E-3</v>
      </c>
      <c r="T274" s="27"/>
    </row>
    <row r="275" spans="1:20" ht="15.75">
      <c r="A275" s="23" t="s">
        <v>37</v>
      </c>
      <c r="B275" s="20" t="s">
        <v>44</v>
      </c>
      <c r="C275" s="20" t="s">
        <v>39</v>
      </c>
      <c r="D275" s="20" t="s">
        <v>40</v>
      </c>
      <c r="E275" s="20" t="s">
        <v>50</v>
      </c>
      <c r="F275" s="20">
        <v>60656</v>
      </c>
      <c r="G275" s="20">
        <v>808</v>
      </c>
      <c r="H275" s="20">
        <v>0</v>
      </c>
      <c r="I275" s="20">
        <v>2282.23</v>
      </c>
      <c r="J275" s="20">
        <v>0</v>
      </c>
      <c r="K275" s="20">
        <v>386</v>
      </c>
      <c r="L275" s="20">
        <v>20</v>
      </c>
      <c r="M275" s="20">
        <v>20</v>
      </c>
      <c r="N275" s="29">
        <f>IF(Table2[[#This Row],[impressions]]=0,0,Table2[[#This Row],[spend_inr]]/Table2[[#This Row],[impressions]]*1000)</f>
        <v>37.625791347929308</v>
      </c>
      <c r="O275" s="31">
        <f>IF(Table2[[#This Row],[impressions]]=0,0,Table2[[#This Row],[clicks]]/Table2[[#This Row],[impressions]])</f>
        <v>1.3321023476655236E-2</v>
      </c>
      <c r="P275" s="32">
        <f>IF(Table2[[#This Row],[clicks]]=0,0,Table2[[#This Row],[spend_inr]]/Table2[[#This Row],[clicks]])</f>
        <v>2.8245420792079208</v>
      </c>
      <c r="Q275" s="31">
        <f>IF(Table2[[#This Row],[clicks]]=0,0,Table2[[#This Row],[conversions]]/Table2[[#This Row],[clicks]])</f>
        <v>0</v>
      </c>
      <c r="R275" s="30">
        <f>IF(Table2[[#This Row],[spend_inr]]=0,0,(Table2[[#This Row],[revenue_inr]]-Table2[[#This Row],[spend_inr]])/Table2[[#This Row],[spend_inr]])</f>
        <v>-1</v>
      </c>
      <c r="S275" s="31">
        <f>IF(Table2[[#This Row],[impressions]]=0,0,(Table2[[#This Row],[likes]]+Table2[[#This Row],[comments]]+Table2[[#This Row],[shares]])/Table2[[#This Row],[impressions]])</f>
        <v>7.0232128725929831E-3</v>
      </c>
      <c r="T275" s="27"/>
    </row>
    <row r="276" spans="1:20" ht="15.75">
      <c r="A276" s="23" t="s">
        <v>52</v>
      </c>
      <c r="B276" s="20" t="s">
        <v>48</v>
      </c>
      <c r="C276" s="20" t="s">
        <v>49</v>
      </c>
      <c r="D276" s="20" t="s">
        <v>40</v>
      </c>
      <c r="E276" s="20" t="s">
        <v>56</v>
      </c>
      <c r="F276" s="20">
        <v>0</v>
      </c>
      <c r="G276" s="20">
        <v>3058</v>
      </c>
      <c r="H276" s="20">
        <v>0</v>
      </c>
      <c r="I276" s="20">
        <v>2265.73</v>
      </c>
      <c r="J276" s="20">
        <v>128074.98</v>
      </c>
      <c r="K276" s="20">
        <v>0</v>
      </c>
      <c r="L276" s="20">
        <v>0</v>
      </c>
      <c r="M276" s="20">
        <v>0</v>
      </c>
      <c r="N276" s="29">
        <f>IF(Table2[[#This Row],[impressions]]=0,0,Table2[[#This Row],[spend_inr]]/Table2[[#This Row],[impressions]]*1000)</f>
        <v>0</v>
      </c>
      <c r="O276" s="31">
        <f>IF(Table2[[#This Row],[impressions]]=0,0,Table2[[#This Row],[clicks]]/Table2[[#This Row],[impressions]])</f>
        <v>0</v>
      </c>
      <c r="P276" s="32">
        <f>IF(Table2[[#This Row],[clicks]]=0,0,Table2[[#This Row],[spend_inr]]/Table2[[#This Row],[clicks]])</f>
        <v>0.74091890124264226</v>
      </c>
      <c r="Q276" s="31">
        <f>IF(Table2[[#This Row],[clicks]]=0,0,Table2[[#This Row],[conversions]]/Table2[[#This Row],[clicks]])</f>
        <v>0</v>
      </c>
      <c r="R276" s="30">
        <f>IF(Table2[[#This Row],[spend_inr]]=0,0,(Table2[[#This Row],[revenue_inr]]-Table2[[#This Row],[spend_inr]])/Table2[[#This Row],[spend_inr]])</f>
        <v>55.527026609525407</v>
      </c>
      <c r="S276" s="31">
        <f>IF(Table2[[#This Row],[impressions]]=0,0,(Table2[[#This Row],[likes]]+Table2[[#This Row],[comments]]+Table2[[#This Row],[shares]])/Table2[[#This Row],[impressions]])</f>
        <v>0</v>
      </c>
      <c r="T276" s="27"/>
    </row>
    <row r="277" spans="1:20" ht="15.75">
      <c r="A277" s="23" t="s">
        <v>51</v>
      </c>
      <c r="B277" s="20" t="s">
        <v>44</v>
      </c>
      <c r="C277" s="20" t="s">
        <v>54</v>
      </c>
      <c r="D277" s="20" t="s">
        <v>46</v>
      </c>
      <c r="E277" s="20" t="s">
        <v>50</v>
      </c>
      <c r="F277" s="20">
        <v>14312</v>
      </c>
      <c r="G277" s="20">
        <v>141</v>
      </c>
      <c r="H277" s="20">
        <v>2</v>
      </c>
      <c r="I277" s="20">
        <v>2262.9</v>
      </c>
      <c r="J277" s="20">
        <v>0</v>
      </c>
      <c r="K277" s="20">
        <v>58</v>
      </c>
      <c r="L277" s="20">
        <v>4</v>
      </c>
      <c r="M277" s="20">
        <v>2</v>
      </c>
      <c r="N277" s="29">
        <f>IF(Table2[[#This Row],[impressions]]=0,0,Table2[[#This Row],[spend_inr]]/Table2[[#This Row],[impressions]]*1000)</f>
        <v>158.112073784237</v>
      </c>
      <c r="O277" s="31">
        <f>IF(Table2[[#This Row],[impressions]]=0,0,Table2[[#This Row],[clicks]]/Table2[[#This Row],[impressions]])</f>
        <v>9.8518725544997198E-3</v>
      </c>
      <c r="P277" s="32">
        <f>IF(Table2[[#This Row],[clicks]]=0,0,Table2[[#This Row],[spend_inr]]/Table2[[#This Row],[clicks]])</f>
        <v>16.048936170212766</v>
      </c>
      <c r="Q277" s="31">
        <f>IF(Table2[[#This Row],[clicks]]=0,0,Table2[[#This Row],[conversions]]/Table2[[#This Row],[clicks]])</f>
        <v>1.4184397163120567E-2</v>
      </c>
      <c r="R277" s="30">
        <f>IF(Table2[[#This Row],[spend_inr]]=0,0,(Table2[[#This Row],[revenue_inr]]-Table2[[#This Row],[spend_inr]])/Table2[[#This Row],[spend_inr]])</f>
        <v>-1</v>
      </c>
      <c r="S277" s="31">
        <f>IF(Table2[[#This Row],[impressions]]=0,0,(Table2[[#This Row],[likes]]+Table2[[#This Row],[comments]]+Table2[[#This Row],[shares]])/Table2[[#This Row],[impressions]])</f>
        <v>4.4717719396310789E-3</v>
      </c>
      <c r="T277" s="27"/>
    </row>
    <row r="278" spans="1:20" ht="15.75">
      <c r="A278" s="23" t="s">
        <v>42</v>
      </c>
      <c r="B278" s="20" t="s">
        <v>44</v>
      </c>
      <c r="C278" s="20" t="s">
        <v>49</v>
      </c>
      <c r="D278" s="20" t="s">
        <v>46</v>
      </c>
      <c r="E278" s="20" t="s">
        <v>50</v>
      </c>
      <c r="F278" s="20">
        <v>49372</v>
      </c>
      <c r="G278" s="20">
        <v>376</v>
      </c>
      <c r="H278" s="20">
        <v>7</v>
      </c>
      <c r="I278" s="20">
        <v>2247.1</v>
      </c>
      <c r="J278" s="20">
        <v>8311.73</v>
      </c>
      <c r="K278" s="20">
        <v>128</v>
      </c>
      <c r="L278" s="20">
        <v>19</v>
      </c>
      <c r="M278" s="20">
        <v>6</v>
      </c>
      <c r="N278" s="29">
        <f>IF(Table2[[#This Row],[impressions]]=0,0,Table2[[#This Row],[spend_inr]]/Table2[[#This Row],[impressions]]*1000)</f>
        <v>45.513651462367335</v>
      </c>
      <c r="O278" s="31">
        <f>IF(Table2[[#This Row],[impressions]]=0,0,Table2[[#This Row],[clicks]]/Table2[[#This Row],[impressions]])</f>
        <v>7.6156525966134649E-3</v>
      </c>
      <c r="P278" s="32">
        <f>IF(Table2[[#This Row],[clicks]]=0,0,Table2[[#This Row],[spend_inr]]/Table2[[#This Row],[clicks]])</f>
        <v>5.9763297872340422</v>
      </c>
      <c r="Q278" s="31">
        <f>IF(Table2[[#This Row],[clicks]]=0,0,Table2[[#This Row],[conversions]]/Table2[[#This Row],[clicks]])</f>
        <v>1.8617021276595744E-2</v>
      </c>
      <c r="R278" s="30">
        <f>IF(Table2[[#This Row],[spend_inr]]=0,0,(Table2[[#This Row],[revenue_inr]]-Table2[[#This Row],[spend_inr]])/Table2[[#This Row],[spend_inr]])</f>
        <v>2.6988696542209958</v>
      </c>
      <c r="S278" s="31">
        <f>IF(Table2[[#This Row],[impressions]]=0,0,(Table2[[#This Row],[likes]]+Table2[[#This Row],[comments]]+Table2[[#This Row],[shares]])/Table2[[#This Row],[impressions]])</f>
        <v>3.0989224661751602E-3</v>
      </c>
      <c r="T278" s="27"/>
    </row>
    <row r="279" spans="1:20" ht="15.75">
      <c r="A279" s="23" t="s">
        <v>52</v>
      </c>
      <c r="B279" s="20" t="s">
        <v>48</v>
      </c>
      <c r="C279" s="20" t="s">
        <v>39</v>
      </c>
      <c r="D279" s="20" t="s">
        <v>46</v>
      </c>
      <c r="E279" s="20" t="s">
        <v>56</v>
      </c>
      <c r="F279" s="20">
        <v>23071</v>
      </c>
      <c r="G279" s="20">
        <v>582</v>
      </c>
      <c r="H279" s="20">
        <v>0</v>
      </c>
      <c r="I279" s="20">
        <v>2237.3200000000002</v>
      </c>
      <c r="J279" s="20">
        <v>20335.84</v>
      </c>
      <c r="K279" s="20">
        <v>0</v>
      </c>
      <c r="L279" s="20">
        <v>0</v>
      </c>
      <c r="M279" s="20">
        <v>0</v>
      </c>
      <c r="N279" s="29">
        <f>IF(Table2[[#This Row],[impressions]]=0,0,Table2[[#This Row],[spend_inr]]/Table2[[#This Row],[impressions]]*1000)</f>
        <v>96.97542369208098</v>
      </c>
      <c r="O279" s="31">
        <f>IF(Table2[[#This Row],[impressions]]=0,0,Table2[[#This Row],[clicks]]/Table2[[#This Row],[impressions]])</f>
        <v>2.5226474795197434E-2</v>
      </c>
      <c r="P279" s="32">
        <f>IF(Table2[[#This Row],[clicks]]=0,0,Table2[[#This Row],[spend_inr]]/Table2[[#This Row],[clicks]])</f>
        <v>3.8441924398625433</v>
      </c>
      <c r="Q279" s="31">
        <f>IF(Table2[[#This Row],[clicks]]=0,0,Table2[[#This Row],[conversions]]/Table2[[#This Row],[clicks]])</f>
        <v>0</v>
      </c>
      <c r="R279" s="30">
        <f>IF(Table2[[#This Row],[spend_inr]]=0,0,(Table2[[#This Row],[revenue_inr]]-Table2[[#This Row],[spend_inr]])/Table2[[#This Row],[spend_inr]])</f>
        <v>8.0893747876924174</v>
      </c>
      <c r="S279" s="31">
        <f>IF(Table2[[#This Row],[impressions]]=0,0,(Table2[[#This Row],[likes]]+Table2[[#This Row],[comments]]+Table2[[#This Row],[shares]])/Table2[[#This Row],[impressions]])</f>
        <v>0</v>
      </c>
      <c r="T279" s="27"/>
    </row>
    <row r="280" spans="1:20" ht="15.75">
      <c r="A280" s="23" t="s">
        <v>51</v>
      </c>
      <c r="B280" s="20" t="s">
        <v>38</v>
      </c>
      <c r="C280" s="20" t="s">
        <v>39</v>
      </c>
      <c r="D280" s="20" t="s">
        <v>46</v>
      </c>
      <c r="E280" s="20" t="s">
        <v>50</v>
      </c>
      <c r="F280" s="20">
        <v>21230</v>
      </c>
      <c r="G280" s="20">
        <v>83</v>
      </c>
      <c r="H280" s="20">
        <v>2</v>
      </c>
      <c r="I280" s="20">
        <v>2199.36</v>
      </c>
      <c r="J280" s="20">
        <v>1703.98</v>
      </c>
      <c r="K280" s="20">
        <v>37</v>
      </c>
      <c r="L280" s="20">
        <v>3</v>
      </c>
      <c r="M280" s="20">
        <v>2</v>
      </c>
      <c r="N280" s="29">
        <f>IF(Table2[[#This Row],[impressions]]=0,0,Table2[[#This Row],[spend_inr]]/Table2[[#This Row],[impressions]]*1000)</f>
        <v>103.59679698539803</v>
      </c>
      <c r="O280" s="31">
        <f>IF(Table2[[#This Row],[impressions]]=0,0,Table2[[#This Row],[clicks]]/Table2[[#This Row],[impressions]])</f>
        <v>3.9095619406500238E-3</v>
      </c>
      <c r="P280" s="32">
        <f>IF(Table2[[#This Row],[clicks]]=0,0,Table2[[#This Row],[spend_inr]]/Table2[[#This Row],[clicks]])</f>
        <v>26.49831325301205</v>
      </c>
      <c r="Q280" s="31">
        <f>IF(Table2[[#This Row],[clicks]]=0,0,Table2[[#This Row],[conversions]]/Table2[[#This Row],[clicks]])</f>
        <v>2.4096385542168676E-2</v>
      </c>
      <c r="R280" s="30">
        <f>IF(Table2[[#This Row],[spend_inr]]=0,0,(Table2[[#This Row],[revenue_inr]]-Table2[[#This Row],[spend_inr]])/Table2[[#This Row],[spend_inr]])</f>
        <v>-0.22523825112760079</v>
      </c>
      <c r="S280" s="31">
        <f>IF(Table2[[#This Row],[impressions]]=0,0,(Table2[[#This Row],[likes]]+Table2[[#This Row],[comments]]+Table2[[#This Row],[shares]])/Table2[[#This Row],[impressions]])</f>
        <v>1.9783325482807348E-3</v>
      </c>
      <c r="T280" s="27"/>
    </row>
    <row r="281" spans="1:20" ht="15.75">
      <c r="A281" s="23" t="s">
        <v>52</v>
      </c>
      <c r="B281" s="20" t="s">
        <v>43</v>
      </c>
      <c r="C281" s="20" t="s">
        <v>39</v>
      </c>
      <c r="D281" s="20" t="s">
        <v>40</v>
      </c>
      <c r="E281" s="20" t="s">
        <v>56</v>
      </c>
      <c r="F281" s="20">
        <v>13724</v>
      </c>
      <c r="G281" s="20">
        <v>254</v>
      </c>
      <c r="H281" s="20">
        <v>3</v>
      </c>
      <c r="I281" s="20">
        <v>2179.9</v>
      </c>
      <c r="J281" s="20">
        <v>2716.21</v>
      </c>
      <c r="K281" s="20">
        <v>0</v>
      </c>
      <c r="L281" s="20">
        <v>0</v>
      </c>
      <c r="M281" s="20">
        <v>0</v>
      </c>
      <c r="N281" s="29">
        <f>IF(Table2[[#This Row],[impressions]]=0,0,Table2[[#This Row],[spend_inr]]/Table2[[#This Row],[impressions]]*1000)</f>
        <v>158.83853104051298</v>
      </c>
      <c r="O281" s="31">
        <f>IF(Table2[[#This Row],[impressions]]=0,0,Table2[[#This Row],[clicks]]/Table2[[#This Row],[impressions]])</f>
        <v>1.8507723695715534E-2</v>
      </c>
      <c r="P281" s="32">
        <f>IF(Table2[[#This Row],[clicks]]=0,0,Table2[[#This Row],[spend_inr]]/Table2[[#This Row],[clicks]])</f>
        <v>8.5822834645669293</v>
      </c>
      <c r="Q281" s="31">
        <f>IF(Table2[[#This Row],[clicks]]=0,0,Table2[[#This Row],[conversions]]/Table2[[#This Row],[clicks]])</f>
        <v>1.1811023622047244E-2</v>
      </c>
      <c r="R281" s="30">
        <f>IF(Table2[[#This Row],[spend_inr]]=0,0,(Table2[[#This Row],[revenue_inr]]-Table2[[#This Row],[spend_inr]])/Table2[[#This Row],[spend_inr]])</f>
        <v>0.24602504702050548</v>
      </c>
      <c r="S281" s="31">
        <f>IF(Table2[[#This Row],[impressions]]=0,0,(Table2[[#This Row],[likes]]+Table2[[#This Row],[comments]]+Table2[[#This Row],[shares]])/Table2[[#This Row],[impressions]])</f>
        <v>0</v>
      </c>
      <c r="T281" s="27"/>
    </row>
    <row r="282" spans="1:20" ht="15.75">
      <c r="A282" s="23" t="s">
        <v>51</v>
      </c>
      <c r="B282" s="20" t="s">
        <v>43</v>
      </c>
      <c r="C282" s="20" t="s">
        <v>39</v>
      </c>
      <c r="D282" s="20" t="s">
        <v>40</v>
      </c>
      <c r="E282" s="20" t="s">
        <v>50</v>
      </c>
      <c r="F282" s="20">
        <v>0</v>
      </c>
      <c r="G282" s="20">
        <v>297</v>
      </c>
      <c r="H282" s="20">
        <v>3</v>
      </c>
      <c r="I282" s="20">
        <v>2173.4299999999998</v>
      </c>
      <c r="J282" s="20">
        <v>3846.36</v>
      </c>
      <c r="K282" s="20">
        <v>114</v>
      </c>
      <c r="L282" s="20">
        <v>16</v>
      </c>
      <c r="M282" s="20">
        <v>5</v>
      </c>
      <c r="N282" s="29">
        <f>IF(Table2[[#This Row],[impressions]]=0,0,Table2[[#This Row],[spend_inr]]/Table2[[#This Row],[impressions]]*1000)</f>
        <v>0</v>
      </c>
      <c r="O282" s="31">
        <f>IF(Table2[[#This Row],[impressions]]=0,0,Table2[[#This Row],[clicks]]/Table2[[#This Row],[impressions]])</f>
        <v>0</v>
      </c>
      <c r="P282" s="32">
        <f>IF(Table2[[#This Row],[clicks]]=0,0,Table2[[#This Row],[spend_inr]]/Table2[[#This Row],[clicks]])</f>
        <v>7.3179461279461275</v>
      </c>
      <c r="Q282" s="31">
        <f>IF(Table2[[#This Row],[clicks]]=0,0,Table2[[#This Row],[conversions]]/Table2[[#This Row],[clicks]])</f>
        <v>1.0101010101010102E-2</v>
      </c>
      <c r="R282" s="30">
        <f>IF(Table2[[#This Row],[spend_inr]]=0,0,(Table2[[#This Row],[revenue_inr]]-Table2[[#This Row],[spend_inr]])/Table2[[#This Row],[spend_inr]])</f>
        <v>0.76971883152436493</v>
      </c>
      <c r="S282" s="31">
        <f>IF(Table2[[#This Row],[impressions]]=0,0,(Table2[[#This Row],[likes]]+Table2[[#This Row],[comments]]+Table2[[#This Row],[shares]])/Table2[[#This Row],[impressions]])</f>
        <v>0</v>
      </c>
      <c r="T282" s="27"/>
    </row>
    <row r="283" spans="1:20" ht="15.75">
      <c r="A283" s="23" t="s">
        <v>42</v>
      </c>
      <c r="B283" s="20" t="s">
        <v>38</v>
      </c>
      <c r="C283" s="20" t="s">
        <v>54</v>
      </c>
      <c r="D283" s="20" t="s">
        <v>40</v>
      </c>
      <c r="E283" s="20" t="s">
        <v>50</v>
      </c>
      <c r="F283" s="20">
        <v>78107</v>
      </c>
      <c r="G283" s="20">
        <v>587</v>
      </c>
      <c r="H283" s="20">
        <v>8</v>
      </c>
      <c r="I283" s="20">
        <v>2142.12</v>
      </c>
      <c r="J283" s="20">
        <v>11911.26</v>
      </c>
      <c r="K283" s="20">
        <v>281</v>
      </c>
      <c r="L283" s="20">
        <v>25</v>
      </c>
      <c r="M283" s="20">
        <v>18</v>
      </c>
      <c r="N283" s="29">
        <f>IF(Table2[[#This Row],[impressions]]=0,0,Table2[[#This Row],[spend_inr]]/Table2[[#This Row],[impressions]]*1000)</f>
        <v>27.425454824791629</v>
      </c>
      <c r="O283" s="31">
        <f>IF(Table2[[#This Row],[impressions]]=0,0,Table2[[#This Row],[clicks]]/Table2[[#This Row],[impressions]])</f>
        <v>7.5153315323850615E-3</v>
      </c>
      <c r="P283" s="32">
        <f>IF(Table2[[#This Row],[clicks]]=0,0,Table2[[#This Row],[spend_inr]]/Table2[[#This Row],[clicks]])</f>
        <v>3.6492674616695058</v>
      </c>
      <c r="Q283" s="31">
        <f>IF(Table2[[#This Row],[clicks]]=0,0,Table2[[#This Row],[conversions]]/Table2[[#This Row],[clicks]])</f>
        <v>1.3628620102214651E-2</v>
      </c>
      <c r="R283" s="30">
        <f>IF(Table2[[#This Row],[spend_inr]]=0,0,(Table2[[#This Row],[revenue_inr]]-Table2[[#This Row],[spend_inr]])/Table2[[#This Row],[spend_inr]])</f>
        <v>4.5605008122794244</v>
      </c>
      <c r="S283" s="31">
        <f>IF(Table2[[#This Row],[impressions]]=0,0,(Table2[[#This Row],[likes]]+Table2[[#This Row],[comments]]+Table2[[#This Row],[shares]])/Table2[[#This Row],[impressions]])</f>
        <v>4.1481557350813627E-3</v>
      </c>
      <c r="T283" s="27"/>
    </row>
    <row r="284" spans="1:20" ht="15.75">
      <c r="A284" s="23" t="s">
        <v>37</v>
      </c>
      <c r="B284" s="20" t="s">
        <v>43</v>
      </c>
      <c r="C284" s="20" t="s">
        <v>55</v>
      </c>
      <c r="D284" s="20" t="s">
        <v>40</v>
      </c>
      <c r="E284" s="20" t="s">
        <v>47</v>
      </c>
      <c r="F284" s="20">
        <v>24254</v>
      </c>
      <c r="G284" s="20">
        <v>345</v>
      </c>
      <c r="H284" s="20">
        <v>9</v>
      </c>
      <c r="I284" s="20">
        <v>2104.02</v>
      </c>
      <c r="J284" s="20">
        <v>11625.81</v>
      </c>
      <c r="K284" s="20">
        <v>142</v>
      </c>
      <c r="L284" s="20">
        <v>19</v>
      </c>
      <c r="M284" s="20">
        <v>9</v>
      </c>
      <c r="N284" s="29">
        <f>IF(Table2[[#This Row],[impressions]]=0,0,Table2[[#This Row],[spend_inr]]/Table2[[#This Row],[impressions]]*1000)</f>
        <v>86.749402160468378</v>
      </c>
      <c r="O284" s="31">
        <f>IF(Table2[[#This Row],[impressions]]=0,0,Table2[[#This Row],[clicks]]/Table2[[#This Row],[impressions]])</f>
        <v>1.4224457821390287E-2</v>
      </c>
      <c r="P284" s="32">
        <f>IF(Table2[[#This Row],[clicks]]=0,0,Table2[[#This Row],[spend_inr]]/Table2[[#This Row],[clicks]])</f>
        <v>6.0986086956521737</v>
      </c>
      <c r="Q284" s="31">
        <f>IF(Table2[[#This Row],[clicks]]=0,0,Table2[[#This Row],[conversions]]/Table2[[#This Row],[clicks]])</f>
        <v>2.6086956521739129E-2</v>
      </c>
      <c r="R284" s="30">
        <f>IF(Table2[[#This Row],[spend_inr]]=0,0,(Table2[[#This Row],[revenue_inr]]-Table2[[#This Row],[spend_inr]])/Table2[[#This Row],[spend_inr]])</f>
        <v>4.5255225710782216</v>
      </c>
      <c r="S284" s="31">
        <f>IF(Table2[[#This Row],[impressions]]=0,0,(Table2[[#This Row],[likes]]+Table2[[#This Row],[comments]]+Table2[[#This Row],[shares]])/Table2[[#This Row],[impressions]])</f>
        <v>7.0091531293807203E-3</v>
      </c>
      <c r="T284" s="27"/>
    </row>
    <row r="285" spans="1:20" ht="15.75">
      <c r="A285" s="23" t="s">
        <v>42</v>
      </c>
      <c r="B285" s="20" t="s">
        <v>44</v>
      </c>
      <c r="C285" s="20" t="s">
        <v>55</v>
      </c>
      <c r="D285" s="20" t="s">
        <v>40</v>
      </c>
      <c r="E285" s="20" t="s">
        <v>47</v>
      </c>
      <c r="F285" s="20">
        <v>26532</v>
      </c>
      <c r="G285" s="20">
        <v>77</v>
      </c>
      <c r="H285" s="20">
        <v>1</v>
      </c>
      <c r="I285" s="20">
        <v>2102.48</v>
      </c>
      <c r="J285" s="20">
        <v>1092.45</v>
      </c>
      <c r="K285" s="20">
        <v>35</v>
      </c>
      <c r="L285" s="20">
        <v>4</v>
      </c>
      <c r="M285" s="20">
        <v>2</v>
      </c>
      <c r="N285" s="29">
        <f>IF(Table2[[#This Row],[impressions]]=0,0,Table2[[#This Row],[spend_inr]]/Table2[[#This Row],[impressions]]*1000)</f>
        <v>79.243178049148199</v>
      </c>
      <c r="O285" s="31">
        <f>IF(Table2[[#This Row],[impressions]]=0,0,Table2[[#This Row],[clicks]]/Table2[[#This Row],[impressions]])</f>
        <v>2.9021558872305139E-3</v>
      </c>
      <c r="P285" s="32">
        <f>IF(Table2[[#This Row],[clicks]]=0,0,Table2[[#This Row],[spend_inr]]/Table2[[#This Row],[clicks]])</f>
        <v>27.304935064935066</v>
      </c>
      <c r="Q285" s="31">
        <f>IF(Table2[[#This Row],[clicks]]=0,0,Table2[[#This Row],[conversions]]/Table2[[#This Row],[clicks]])</f>
        <v>1.2987012987012988E-2</v>
      </c>
      <c r="R285" s="30">
        <f>IF(Table2[[#This Row],[spend_inr]]=0,0,(Table2[[#This Row],[revenue_inr]]-Table2[[#This Row],[spend_inr]])/Table2[[#This Row],[spend_inr]])</f>
        <v>-0.48039933792473649</v>
      </c>
      <c r="S285" s="31">
        <f>IF(Table2[[#This Row],[impressions]]=0,0,(Table2[[#This Row],[likes]]+Table2[[#This Row],[comments]]+Table2[[#This Row],[shares]])/Table2[[#This Row],[impressions]])</f>
        <v>1.5453037841097542E-3</v>
      </c>
      <c r="T285" s="27"/>
    </row>
    <row r="286" spans="1:20" ht="15.75">
      <c r="A286" s="23" t="s">
        <v>37</v>
      </c>
      <c r="B286" s="20" t="s">
        <v>44</v>
      </c>
      <c r="C286" s="20" t="s">
        <v>55</v>
      </c>
      <c r="D286" s="20" t="s">
        <v>40</v>
      </c>
      <c r="E286" s="20" t="s">
        <v>41</v>
      </c>
      <c r="F286" s="20">
        <v>0</v>
      </c>
      <c r="G286" s="20">
        <v>1075</v>
      </c>
      <c r="H286" s="20">
        <v>20</v>
      </c>
      <c r="I286" s="20">
        <v>2086.5300000000002</v>
      </c>
      <c r="J286" s="20">
        <v>26272.43</v>
      </c>
      <c r="K286" s="20">
        <v>443</v>
      </c>
      <c r="L286" s="20">
        <v>47</v>
      </c>
      <c r="M286" s="20">
        <v>17</v>
      </c>
      <c r="N286" s="29">
        <f>IF(Table2[[#This Row],[impressions]]=0,0,Table2[[#This Row],[spend_inr]]/Table2[[#This Row],[impressions]]*1000)</f>
        <v>0</v>
      </c>
      <c r="O286" s="31">
        <f>IF(Table2[[#This Row],[impressions]]=0,0,Table2[[#This Row],[clicks]]/Table2[[#This Row],[impressions]])</f>
        <v>0</v>
      </c>
      <c r="P286" s="32">
        <f>IF(Table2[[#This Row],[clicks]]=0,0,Table2[[#This Row],[spend_inr]]/Table2[[#This Row],[clicks]])</f>
        <v>1.9409581395348838</v>
      </c>
      <c r="Q286" s="31">
        <f>IF(Table2[[#This Row],[clicks]]=0,0,Table2[[#This Row],[conversions]]/Table2[[#This Row],[clicks]])</f>
        <v>1.8604651162790697E-2</v>
      </c>
      <c r="R286" s="30">
        <f>IF(Table2[[#This Row],[spend_inr]]=0,0,(Table2[[#This Row],[revenue_inr]]-Table2[[#This Row],[spend_inr]])/Table2[[#This Row],[spend_inr]])</f>
        <v>11.59144608512698</v>
      </c>
      <c r="S286" s="31">
        <f>IF(Table2[[#This Row],[impressions]]=0,0,(Table2[[#This Row],[likes]]+Table2[[#This Row],[comments]]+Table2[[#This Row],[shares]])/Table2[[#This Row],[impressions]])</f>
        <v>0</v>
      </c>
      <c r="T286" s="27"/>
    </row>
    <row r="287" spans="1:20" ht="15.75">
      <c r="A287" s="23" t="s">
        <v>37</v>
      </c>
      <c r="B287" s="20" t="s">
        <v>48</v>
      </c>
      <c r="C287" s="20" t="s">
        <v>39</v>
      </c>
      <c r="D287" s="20" t="s">
        <v>46</v>
      </c>
      <c r="E287" s="20" t="s">
        <v>50</v>
      </c>
      <c r="F287" s="20">
        <v>71719</v>
      </c>
      <c r="G287" s="20">
        <v>1659</v>
      </c>
      <c r="H287" s="20">
        <v>47</v>
      </c>
      <c r="I287" s="20">
        <v>2065.85</v>
      </c>
      <c r="J287" s="20">
        <v>38809.42</v>
      </c>
      <c r="K287" s="20">
        <v>780</v>
      </c>
      <c r="L287" s="20">
        <v>78</v>
      </c>
      <c r="M287" s="20">
        <v>25</v>
      </c>
      <c r="N287" s="29">
        <f>IF(Table2[[#This Row],[impressions]]=0,0,Table2[[#This Row],[spend_inr]]/Table2[[#This Row],[impressions]]*1000)</f>
        <v>28.804779765473583</v>
      </c>
      <c r="O287" s="31">
        <f>IF(Table2[[#This Row],[impressions]]=0,0,Table2[[#This Row],[clicks]]/Table2[[#This Row],[impressions]])</f>
        <v>2.3131945509558136E-2</v>
      </c>
      <c r="P287" s="32">
        <f>IF(Table2[[#This Row],[clicks]]=0,0,Table2[[#This Row],[spend_inr]]/Table2[[#This Row],[clicks]])</f>
        <v>1.2452380952380953</v>
      </c>
      <c r="Q287" s="31">
        <f>IF(Table2[[#This Row],[clicks]]=0,0,Table2[[#This Row],[conversions]]/Table2[[#This Row],[clicks]])</f>
        <v>2.8330319469559977E-2</v>
      </c>
      <c r="R287" s="30">
        <f>IF(Table2[[#This Row],[spend_inr]]=0,0,(Table2[[#This Row],[revenue_inr]]-Table2[[#This Row],[spend_inr]])/Table2[[#This Row],[spend_inr]])</f>
        <v>17.786175182128421</v>
      </c>
      <c r="S287" s="31">
        <f>IF(Table2[[#This Row],[impressions]]=0,0,(Table2[[#This Row],[likes]]+Table2[[#This Row],[comments]]+Table2[[#This Row],[shares]])/Table2[[#This Row],[impressions]])</f>
        <v>1.2311939653369399E-2</v>
      </c>
      <c r="T287" s="27"/>
    </row>
    <row r="288" spans="1:20" ht="15.75">
      <c r="A288" s="23" t="s">
        <v>42</v>
      </c>
      <c r="B288" s="20" t="s">
        <v>44</v>
      </c>
      <c r="C288" s="20" t="s">
        <v>55</v>
      </c>
      <c r="D288" s="20" t="s">
        <v>46</v>
      </c>
      <c r="E288" s="20" t="s">
        <v>41</v>
      </c>
      <c r="F288" s="20">
        <v>74227</v>
      </c>
      <c r="G288" s="20">
        <v>843</v>
      </c>
      <c r="H288" s="20">
        <v>15</v>
      </c>
      <c r="I288" s="20">
        <v>2055.4499999999998</v>
      </c>
      <c r="J288" s="20">
        <v>0</v>
      </c>
      <c r="K288" s="20">
        <v>370</v>
      </c>
      <c r="L288" s="20">
        <v>48</v>
      </c>
      <c r="M288" s="20">
        <v>29</v>
      </c>
      <c r="N288" s="29">
        <f>IF(Table2[[#This Row],[impressions]]=0,0,Table2[[#This Row],[spend_inr]]/Table2[[#This Row],[impressions]]*1000)</f>
        <v>27.691406092122811</v>
      </c>
      <c r="O288" s="31">
        <f>IF(Table2[[#This Row],[impressions]]=0,0,Table2[[#This Row],[clicks]]/Table2[[#This Row],[impressions]])</f>
        <v>1.1357053363331402E-2</v>
      </c>
      <c r="P288" s="32">
        <f>IF(Table2[[#This Row],[clicks]]=0,0,Table2[[#This Row],[spend_inr]]/Table2[[#This Row],[clicks]])</f>
        <v>2.4382562277580071</v>
      </c>
      <c r="Q288" s="31">
        <f>IF(Table2[[#This Row],[clicks]]=0,0,Table2[[#This Row],[conversions]]/Table2[[#This Row],[clicks]])</f>
        <v>1.7793594306049824E-2</v>
      </c>
      <c r="R288" s="30">
        <f>IF(Table2[[#This Row],[spend_inr]]=0,0,(Table2[[#This Row],[revenue_inr]]-Table2[[#This Row],[spend_inr]])/Table2[[#This Row],[spend_inr]])</f>
        <v>-1</v>
      </c>
      <c r="S288" s="31">
        <f>IF(Table2[[#This Row],[impressions]]=0,0,(Table2[[#This Row],[likes]]+Table2[[#This Row],[comments]]+Table2[[#This Row],[shares]])/Table2[[#This Row],[impressions]])</f>
        <v>6.0220674417664731E-3</v>
      </c>
      <c r="T288" s="27"/>
    </row>
    <row r="289" spans="1:20" ht="15.75">
      <c r="A289" s="23" t="s">
        <v>42</v>
      </c>
      <c r="B289" s="20" t="s">
        <v>38</v>
      </c>
      <c r="C289" s="20" t="s">
        <v>49</v>
      </c>
      <c r="D289" s="20" t="s">
        <v>40</v>
      </c>
      <c r="E289" s="20" t="s">
        <v>50</v>
      </c>
      <c r="F289" s="20">
        <v>43987</v>
      </c>
      <c r="G289" s="20">
        <v>346</v>
      </c>
      <c r="H289" s="20">
        <v>0</v>
      </c>
      <c r="I289" s="20">
        <v>2036.77</v>
      </c>
      <c r="J289" s="20">
        <v>5045.58</v>
      </c>
      <c r="K289" s="20">
        <v>134</v>
      </c>
      <c r="L289" s="20">
        <v>8</v>
      </c>
      <c r="M289" s="20">
        <v>13</v>
      </c>
      <c r="N289" s="29">
        <f>IF(Table2[[#This Row],[impressions]]=0,0,Table2[[#This Row],[spend_inr]]/Table2[[#This Row],[impressions]]*1000)</f>
        <v>46.303907972810151</v>
      </c>
      <c r="O289" s="31">
        <f>IF(Table2[[#This Row],[impressions]]=0,0,Table2[[#This Row],[clicks]]/Table2[[#This Row],[impressions]])</f>
        <v>7.8659603973901381E-3</v>
      </c>
      <c r="P289" s="32">
        <f>IF(Table2[[#This Row],[clicks]]=0,0,Table2[[#This Row],[spend_inr]]/Table2[[#This Row],[clicks]])</f>
        <v>5.8866184971098265</v>
      </c>
      <c r="Q289" s="31">
        <f>IF(Table2[[#This Row],[clicks]]=0,0,Table2[[#This Row],[conversions]]/Table2[[#This Row],[clicks]])</f>
        <v>0</v>
      </c>
      <c r="R289" s="30">
        <f>IF(Table2[[#This Row],[spend_inr]]=0,0,(Table2[[#This Row],[revenue_inr]]-Table2[[#This Row],[spend_inr]])/Table2[[#This Row],[spend_inr]])</f>
        <v>1.4772458353176843</v>
      </c>
      <c r="S289" s="31">
        <f>IF(Table2[[#This Row],[impressions]]=0,0,(Table2[[#This Row],[likes]]+Table2[[#This Row],[comments]]+Table2[[#This Row],[shares]])/Table2[[#This Row],[impressions]])</f>
        <v>3.5237683861140791E-3</v>
      </c>
      <c r="T289" s="27"/>
    </row>
    <row r="290" spans="1:20" ht="15.75">
      <c r="A290" s="23" t="s">
        <v>52</v>
      </c>
      <c r="B290" s="20" t="s">
        <v>48</v>
      </c>
      <c r="C290" s="20" t="s">
        <v>39</v>
      </c>
      <c r="D290" s="20" t="s">
        <v>40</v>
      </c>
      <c r="E290" s="20" t="s">
        <v>53</v>
      </c>
      <c r="F290" s="20">
        <v>77437</v>
      </c>
      <c r="G290" s="20">
        <v>2357</v>
      </c>
      <c r="H290" s="20">
        <v>73</v>
      </c>
      <c r="I290" s="20">
        <v>0</v>
      </c>
      <c r="J290" s="20">
        <v>105055.66</v>
      </c>
      <c r="K290" s="20">
        <v>0</v>
      </c>
      <c r="L290" s="20">
        <v>0</v>
      </c>
      <c r="M290" s="20">
        <v>0</v>
      </c>
      <c r="N290" s="29">
        <f>IF(Table2[[#This Row],[impressions]]=0,0,Table2[[#This Row],[spend_inr]]/Table2[[#This Row],[impressions]]*1000)</f>
        <v>0</v>
      </c>
      <c r="O290" s="31">
        <f>IF(Table2[[#This Row],[impressions]]=0,0,Table2[[#This Row],[clicks]]/Table2[[#This Row],[impressions]])</f>
        <v>3.0437646086496118E-2</v>
      </c>
      <c r="P290" s="32">
        <f>IF(Table2[[#This Row],[clicks]]=0,0,Table2[[#This Row],[spend_inr]]/Table2[[#This Row],[clicks]])</f>
        <v>0</v>
      </c>
      <c r="Q290" s="31">
        <f>IF(Table2[[#This Row],[clicks]]=0,0,Table2[[#This Row],[conversions]]/Table2[[#This Row],[clicks]])</f>
        <v>3.0971574034789989E-2</v>
      </c>
      <c r="R290" s="30">
        <f>IF(Table2[[#This Row],[spend_inr]]=0,0,(Table2[[#This Row],[revenue_inr]]-Table2[[#This Row],[spend_inr]])/Table2[[#This Row],[spend_inr]])</f>
        <v>0</v>
      </c>
      <c r="S290" s="31">
        <f>IF(Table2[[#This Row],[impressions]]=0,0,(Table2[[#This Row],[likes]]+Table2[[#This Row],[comments]]+Table2[[#This Row],[shares]])/Table2[[#This Row],[impressions]])</f>
        <v>0</v>
      </c>
      <c r="T290" s="27"/>
    </row>
    <row r="291" spans="1:20" ht="15.75">
      <c r="A291" s="23" t="s">
        <v>52</v>
      </c>
      <c r="B291" s="20" t="s">
        <v>48</v>
      </c>
      <c r="C291" s="20" t="s">
        <v>39</v>
      </c>
      <c r="D291" s="20" t="s">
        <v>46</v>
      </c>
      <c r="E291" s="20" t="s">
        <v>56</v>
      </c>
      <c r="F291" s="20">
        <v>75475</v>
      </c>
      <c r="G291" s="20">
        <v>2162</v>
      </c>
      <c r="H291" s="20">
        <v>73</v>
      </c>
      <c r="I291" s="20">
        <v>0</v>
      </c>
      <c r="J291" s="20">
        <v>93407.32</v>
      </c>
      <c r="K291" s="20">
        <v>0</v>
      </c>
      <c r="L291" s="20">
        <v>0</v>
      </c>
      <c r="M291" s="20">
        <v>0</v>
      </c>
      <c r="N291" s="29">
        <f>IF(Table2[[#This Row],[impressions]]=0,0,Table2[[#This Row],[spend_inr]]/Table2[[#This Row],[impressions]]*1000)</f>
        <v>0</v>
      </c>
      <c r="O291" s="31">
        <f>IF(Table2[[#This Row],[impressions]]=0,0,Table2[[#This Row],[clicks]]/Table2[[#This Row],[impressions]])</f>
        <v>2.8645246770453794E-2</v>
      </c>
      <c r="P291" s="32">
        <f>IF(Table2[[#This Row],[clicks]]=0,0,Table2[[#This Row],[spend_inr]]/Table2[[#This Row],[clicks]])</f>
        <v>0</v>
      </c>
      <c r="Q291" s="31">
        <f>IF(Table2[[#This Row],[clicks]]=0,0,Table2[[#This Row],[conversions]]/Table2[[#This Row],[clicks]])</f>
        <v>3.3765032377428304E-2</v>
      </c>
      <c r="R291" s="30">
        <f>IF(Table2[[#This Row],[spend_inr]]=0,0,(Table2[[#This Row],[revenue_inr]]-Table2[[#This Row],[spend_inr]])/Table2[[#This Row],[spend_inr]])</f>
        <v>0</v>
      </c>
      <c r="S291" s="31">
        <f>IF(Table2[[#This Row],[impressions]]=0,0,(Table2[[#This Row],[likes]]+Table2[[#This Row],[comments]]+Table2[[#This Row],[shares]])/Table2[[#This Row],[impressions]])</f>
        <v>0</v>
      </c>
      <c r="T291" s="27"/>
    </row>
    <row r="292" spans="1:20" ht="15.75">
      <c r="A292" s="23" t="s">
        <v>52</v>
      </c>
      <c r="B292" s="20" t="s">
        <v>48</v>
      </c>
      <c r="C292" s="20" t="s">
        <v>45</v>
      </c>
      <c r="D292" s="20" t="s">
        <v>40</v>
      </c>
      <c r="E292" s="20" t="s">
        <v>56</v>
      </c>
      <c r="F292" s="20">
        <v>59889</v>
      </c>
      <c r="G292" s="20">
        <v>2233</v>
      </c>
      <c r="H292" s="20">
        <v>46</v>
      </c>
      <c r="I292" s="20">
        <v>0</v>
      </c>
      <c r="J292" s="20">
        <v>60964.82</v>
      </c>
      <c r="K292" s="20">
        <v>0</v>
      </c>
      <c r="L292" s="20">
        <v>0</v>
      </c>
      <c r="M292" s="20">
        <v>0</v>
      </c>
      <c r="N292" s="29">
        <f>IF(Table2[[#This Row],[impressions]]=0,0,Table2[[#This Row],[spend_inr]]/Table2[[#This Row],[impressions]]*1000)</f>
        <v>0</v>
      </c>
      <c r="O292" s="31">
        <f>IF(Table2[[#This Row],[impressions]]=0,0,Table2[[#This Row],[clicks]]/Table2[[#This Row],[impressions]])</f>
        <v>3.7285645110120391E-2</v>
      </c>
      <c r="P292" s="32">
        <f>IF(Table2[[#This Row],[clicks]]=0,0,Table2[[#This Row],[spend_inr]]/Table2[[#This Row],[clicks]])</f>
        <v>0</v>
      </c>
      <c r="Q292" s="31">
        <f>IF(Table2[[#This Row],[clicks]]=0,0,Table2[[#This Row],[conversions]]/Table2[[#This Row],[clicks]])</f>
        <v>2.0600089565606806E-2</v>
      </c>
      <c r="R292" s="30">
        <f>IF(Table2[[#This Row],[spend_inr]]=0,0,(Table2[[#This Row],[revenue_inr]]-Table2[[#This Row],[spend_inr]])/Table2[[#This Row],[spend_inr]])</f>
        <v>0</v>
      </c>
      <c r="S292" s="31">
        <f>IF(Table2[[#This Row],[impressions]]=0,0,(Table2[[#This Row],[likes]]+Table2[[#This Row],[comments]]+Table2[[#This Row],[shares]])/Table2[[#This Row],[impressions]])</f>
        <v>0</v>
      </c>
      <c r="T292" s="27"/>
    </row>
    <row r="293" spans="1:20" ht="15.75">
      <c r="A293" s="23" t="s">
        <v>37</v>
      </c>
      <c r="B293" s="20" t="s">
        <v>44</v>
      </c>
      <c r="C293" s="20" t="s">
        <v>49</v>
      </c>
      <c r="D293" s="20" t="s">
        <v>40</v>
      </c>
      <c r="E293" s="20" t="s">
        <v>50</v>
      </c>
      <c r="F293" s="20">
        <v>79743</v>
      </c>
      <c r="G293" s="20">
        <v>1577</v>
      </c>
      <c r="H293" s="20">
        <v>53</v>
      </c>
      <c r="I293" s="20">
        <v>0</v>
      </c>
      <c r="J293" s="20">
        <v>47934.32</v>
      </c>
      <c r="K293" s="20">
        <v>512</v>
      </c>
      <c r="L293" s="20">
        <v>84</v>
      </c>
      <c r="M293" s="20">
        <v>23</v>
      </c>
      <c r="N293" s="29">
        <f>IF(Table2[[#This Row],[impressions]]=0,0,Table2[[#This Row],[spend_inr]]/Table2[[#This Row],[impressions]]*1000)</f>
        <v>0</v>
      </c>
      <c r="O293" s="31">
        <f>IF(Table2[[#This Row],[impressions]]=0,0,Table2[[#This Row],[clicks]]/Table2[[#This Row],[impressions]])</f>
        <v>1.9776030497974745E-2</v>
      </c>
      <c r="P293" s="32">
        <f>IF(Table2[[#This Row],[clicks]]=0,0,Table2[[#This Row],[spend_inr]]/Table2[[#This Row],[clicks]])</f>
        <v>0</v>
      </c>
      <c r="Q293" s="31">
        <f>IF(Table2[[#This Row],[clicks]]=0,0,Table2[[#This Row],[conversions]]/Table2[[#This Row],[clicks]])</f>
        <v>3.3608116677235254E-2</v>
      </c>
      <c r="R293" s="30">
        <f>IF(Table2[[#This Row],[spend_inr]]=0,0,(Table2[[#This Row],[revenue_inr]]-Table2[[#This Row],[spend_inr]])/Table2[[#This Row],[spend_inr]])</f>
        <v>0</v>
      </c>
      <c r="S293" s="31">
        <f>IF(Table2[[#This Row],[impressions]]=0,0,(Table2[[#This Row],[likes]]+Table2[[#This Row],[comments]]+Table2[[#This Row],[shares]])/Table2[[#This Row],[impressions]])</f>
        <v>7.7624368283109486E-3</v>
      </c>
      <c r="T293" s="27"/>
    </row>
    <row r="294" spans="1:20" ht="15.75">
      <c r="A294" s="23" t="s">
        <v>52</v>
      </c>
      <c r="B294" s="20" t="s">
        <v>44</v>
      </c>
      <c r="C294" s="20" t="s">
        <v>55</v>
      </c>
      <c r="D294" s="20" t="s">
        <v>40</v>
      </c>
      <c r="E294" s="20" t="s">
        <v>53</v>
      </c>
      <c r="F294" s="20">
        <v>31618</v>
      </c>
      <c r="G294" s="20">
        <v>1000</v>
      </c>
      <c r="H294" s="20">
        <v>34</v>
      </c>
      <c r="I294" s="20">
        <v>0</v>
      </c>
      <c r="J294" s="20">
        <v>31986.31</v>
      </c>
      <c r="K294" s="20">
        <v>0</v>
      </c>
      <c r="L294" s="20">
        <v>0</v>
      </c>
      <c r="M294" s="20">
        <v>0</v>
      </c>
      <c r="N294" s="29">
        <f>IF(Table2[[#This Row],[impressions]]=0,0,Table2[[#This Row],[spend_inr]]/Table2[[#This Row],[impressions]]*1000)</f>
        <v>0</v>
      </c>
      <c r="O294" s="31">
        <f>IF(Table2[[#This Row],[impressions]]=0,0,Table2[[#This Row],[clicks]]/Table2[[#This Row],[impressions]])</f>
        <v>3.1627553924979443E-2</v>
      </c>
      <c r="P294" s="32">
        <f>IF(Table2[[#This Row],[clicks]]=0,0,Table2[[#This Row],[spend_inr]]/Table2[[#This Row],[clicks]])</f>
        <v>0</v>
      </c>
      <c r="Q294" s="31">
        <f>IF(Table2[[#This Row],[clicks]]=0,0,Table2[[#This Row],[conversions]]/Table2[[#This Row],[clicks]])</f>
        <v>3.4000000000000002E-2</v>
      </c>
      <c r="R294" s="30">
        <f>IF(Table2[[#This Row],[spend_inr]]=0,0,(Table2[[#This Row],[revenue_inr]]-Table2[[#This Row],[spend_inr]])/Table2[[#This Row],[spend_inr]])</f>
        <v>0</v>
      </c>
      <c r="S294" s="31">
        <f>IF(Table2[[#This Row],[impressions]]=0,0,(Table2[[#This Row],[likes]]+Table2[[#This Row],[comments]]+Table2[[#This Row],[shares]])/Table2[[#This Row],[impressions]])</f>
        <v>0</v>
      </c>
      <c r="T294" s="27"/>
    </row>
    <row r="295" spans="1:20" ht="15.75">
      <c r="A295" s="23" t="s">
        <v>52</v>
      </c>
      <c r="B295" s="20" t="s">
        <v>48</v>
      </c>
      <c r="C295" s="20" t="s">
        <v>49</v>
      </c>
      <c r="D295" s="20" t="s">
        <v>46</v>
      </c>
      <c r="E295" s="20" t="s">
        <v>56</v>
      </c>
      <c r="F295" s="20">
        <v>15233</v>
      </c>
      <c r="G295" s="20">
        <v>765</v>
      </c>
      <c r="H295" s="20">
        <v>22</v>
      </c>
      <c r="I295" s="20">
        <v>0</v>
      </c>
      <c r="J295" s="20">
        <v>24057.87</v>
      </c>
      <c r="K295" s="20">
        <v>0</v>
      </c>
      <c r="L295" s="20">
        <v>0</v>
      </c>
      <c r="M295" s="20">
        <v>0</v>
      </c>
      <c r="N295" s="29">
        <f>IF(Table2[[#This Row],[impressions]]=0,0,Table2[[#This Row],[spend_inr]]/Table2[[#This Row],[impressions]]*1000)</f>
        <v>0</v>
      </c>
      <c r="O295" s="31">
        <f>IF(Table2[[#This Row],[impressions]]=0,0,Table2[[#This Row],[clicks]]/Table2[[#This Row],[impressions]])</f>
        <v>5.0219917284842118E-2</v>
      </c>
      <c r="P295" s="32">
        <f>IF(Table2[[#This Row],[clicks]]=0,0,Table2[[#This Row],[spend_inr]]/Table2[[#This Row],[clicks]])</f>
        <v>0</v>
      </c>
      <c r="Q295" s="31">
        <f>IF(Table2[[#This Row],[clicks]]=0,0,Table2[[#This Row],[conversions]]/Table2[[#This Row],[clicks]])</f>
        <v>2.8758169934640521E-2</v>
      </c>
      <c r="R295" s="30">
        <f>IF(Table2[[#This Row],[spend_inr]]=0,0,(Table2[[#This Row],[revenue_inr]]-Table2[[#This Row],[spend_inr]])/Table2[[#This Row],[spend_inr]])</f>
        <v>0</v>
      </c>
      <c r="S295" s="31">
        <f>IF(Table2[[#This Row],[impressions]]=0,0,(Table2[[#This Row],[likes]]+Table2[[#This Row],[comments]]+Table2[[#This Row],[shares]])/Table2[[#This Row],[impressions]])</f>
        <v>0</v>
      </c>
      <c r="T295" s="27"/>
    </row>
    <row r="296" spans="1:20" ht="15.75">
      <c r="A296" s="23" t="s">
        <v>51</v>
      </c>
      <c r="B296" s="20" t="s">
        <v>44</v>
      </c>
      <c r="C296" s="20" t="s">
        <v>55</v>
      </c>
      <c r="D296" s="20" t="s">
        <v>46</v>
      </c>
      <c r="E296" s="20" t="s">
        <v>50</v>
      </c>
      <c r="F296" s="20">
        <v>78099</v>
      </c>
      <c r="G296" s="20">
        <v>834</v>
      </c>
      <c r="H296" s="20">
        <v>16</v>
      </c>
      <c r="I296" s="20">
        <v>0</v>
      </c>
      <c r="J296" s="20">
        <v>14584.74</v>
      </c>
      <c r="K296" s="20">
        <v>357</v>
      </c>
      <c r="L296" s="20">
        <v>29</v>
      </c>
      <c r="M296" s="20">
        <v>13</v>
      </c>
      <c r="N296" s="29">
        <f>IF(Table2[[#This Row],[impressions]]=0,0,Table2[[#This Row],[spend_inr]]/Table2[[#This Row],[impressions]]*1000)</f>
        <v>0</v>
      </c>
      <c r="O296" s="31">
        <f>IF(Table2[[#This Row],[impressions]]=0,0,Table2[[#This Row],[clicks]]/Table2[[#This Row],[impressions]])</f>
        <v>1.0678753889294358E-2</v>
      </c>
      <c r="P296" s="32">
        <f>IF(Table2[[#This Row],[clicks]]=0,0,Table2[[#This Row],[spend_inr]]/Table2[[#This Row],[clicks]])</f>
        <v>0</v>
      </c>
      <c r="Q296" s="31">
        <f>IF(Table2[[#This Row],[clicks]]=0,0,Table2[[#This Row],[conversions]]/Table2[[#This Row],[clicks]])</f>
        <v>1.9184652278177457E-2</v>
      </c>
      <c r="R296" s="30">
        <f>IF(Table2[[#This Row],[spend_inr]]=0,0,(Table2[[#This Row],[revenue_inr]]-Table2[[#This Row],[spend_inr]])/Table2[[#This Row],[spend_inr]])</f>
        <v>0</v>
      </c>
      <c r="S296" s="31">
        <f>IF(Table2[[#This Row],[impressions]]=0,0,(Table2[[#This Row],[likes]]+Table2[[#This Row],[comments]]+Table2[[#This Row],[shares]])/Table2[[#This Row],[impressions]])</f>
        <v>5.1089002420005381E-3</v>
      </c>
      <c r="T296" s="27"/>
    </row>
    <row r="297" spans="1:20" ht="15.75">
      <c r="A297" s="23" t="s">
        <v>37</v>
      </c>
      <c r="B297" s="20" t="s">
        <v>38</v>
      </c>
      <c r="C297" s="20" t="s">
        <v>49</v>
      </c>
      <c r="D297" s="20" t="s">
        <v>40</v>
      </c>
      <c r="E297" s="20" t="s">
        <v>41</v>
      </c>
      <c r="F297" s="20">
        <v>28921</v>
      </c>
      <c r="G297" s="20">
        <v>492</v>
      </c>
      <c r="H297" s="20">
        <v>13</v>
      </c>
      <c r="I297" s="20">
        <v>0</v>
      </c>
      <c r="J297" s="20">
        <v>9171.7199999999993</v>
      </c>
      <c r="K297" s="20">
        <v>170</v>
      </c>
      <c r="L297" s="20">
        <v>27</v>
      </c>
      <c r="M297" s="20">
        <v>19</v>
      </c>
      <c r="N297" s="29">
        <f>IF(Table2[[#This Row],[impressions]]=0,0,Table2[[#This Row],[spend_inr]]/Table2[[#This Row],[impressions]]*1000)</f>
        <v>0</v>
      </c>
      <c r="O297" s="31">
        <f>IF(Table2[[#This Row],[impressions]]=0,0,Table2[[#This Row],[clicks]]/Table2[[#This Row],[impressions]])</f>
        <v>1.7011859894194532E-2</v>
      </c>
      <c r="P297" s="32">
        <f>IF(Table2[[#This Row],[clicks]]=0,0,Table2[[#This Row],[spend_inr]]/Table2[[#This Row],[clicks]])</f>
        <v>0</v>
      </c>
      <c r="Q297" s="31">
        <f>IF(Table2[[#This Row],[clicks]]=0,0,Table2[[#This Row],[conversions]]/Table2[[#This Row],[clicks]])</f>
        <v>2.6422764227642278E-2</v>
      </c>
      <c r="R297" s="30">
        <f>IF(Table2[[#This Row],[spend_inr]]=0,0,(Table2[[#This Row],[revenue_inr]]-Table2[[#This Row],[spend_inr]])/Table2[[#This Row],[spend_inr]])</f>
        <v>0</v>
      </c>
      <c r="S297" s="31">
        <f>IF(Table2[[#This Row],[impressions]]=0,0,(Table2[[#This Row],[likes]]+Table2[[#This Row],[comments]]+Table2[[#This Row],[shares]])/Table2[[#This Row],[impressions]])</f>
        <v>7.4686214169634524E-3</v>
      </c>
      <c r="T297" s="27"/>
    </row>
    <row r="298" spans="1:20" ht="15.75">
      <c r="A298" s="23" t="s">
        <v>42</v>
      </c>
      <c r="B298" s="20" t="s">
        <v>38</v>
      </c>
      <c r="C298" s="20" t="s">
        <v>55</v>
      </c>
      <c r="D298" s="20" t="s">
        <v>40</v>
      </c>
      <c r="E298" s="20" t="s">
        <v>47</v>
      </c>
      <c r="F298" s="20">
        <v>67485</v>
      </c>
      <c r="G298" s="20">
        <v>502</v>
      </c>
      <c r="H298" s="20">
        <v>6</v>
      </c>
      <c r="I298" s="20">
        <v>0</v>
      </c>
      <c r="J298" s="20">
        <v>8533.4</v>
      </c>
      <c r="K298" s="20">
        <v>243</v>
      </c>
      <c r="L298" s="20">
        <v>21</v>
      </c>
      <c r="M298" s="20">
        <v>13</v>
      </c>
      <c r="N298" s="29">
        <f>IF(Table2[[#This Row],[impressions]]=0,0,Table2[[#This Row],[spend_inr]]/Table2[[#This Row],[impressions]]*1000)</f>
        <v>0</v>
      </c>
      <c r="O298" s="31">
        <f>IF(Table2[[#This Row],[impressions]]=0,0,Table2[[#This Row],[clicks]]/Table2[[#This Row],[impressions]])</f>
        <v>7.4386900792768763E-3</v>
      </c>
      <c r="P298" s="32">
        <f>IF(Table2[[#This Row],[clicks]]=0,0,Table2[[#This Row],[spend_inr]]/Table2[[#This Row],[clicks]])</f>
        <v>0</v>
      </c>
      <c r="Q298" s="31">
        <f>IF(Table2[[#This Row],[clicks]]=0,0,Table2[[#This Row],[conversions]]/Table2[[#This Row],[clicks]])</f>
        <v>1.1952191235059761E-2</v>
      </c>
      <c r="R298" s="30">
        <f>IF(Table2[[#This Row],[spend_inr]]=0,0,(Table2[[#This Row],[revenue_inr]]-Table2[[#This Row],[spend_inr]])/Table2[[#This Row],[spend_inr]])</f>
        <v>0</v>
      </c>
      <c r="S298" s="31">
        <f>IF(Table2[[#This Row],[impressions]]=0,0,(Table2[[#This Row],[likes]]+Table2[[#This Row],[comments]]+Table2[[#This Row],[shares]])/Table2[[#This Row],[impressions]])</f>
        <v>4.104615840557161E-3</v>
      </c>
      <c r="T298" s="27"/>
    </row>
    <row r="299" spans="1:20" ht="15.75">
      <c r="A299" s="23" t="s">
        <v>42</v>
      </c>
      <c r="B299" s="20" t="s">
        <v>44</v>
      </c>
      <c r="C299" s="20" t="s">
        <v>45</v>
      </c>
      <c r="D299" s="20" t="s">
        <v>40</v>
      </c>
      <c r="E299" s="20" t="s">
        <v>41</v>
      </c>
      <c r="F299" s="20">
        <v>59710</v>
      </c>
      <c r="G299" s="20">
        <v>526</v>
      </c>
      <c r="H299" s="20">
        <v>14</v>
      </c>
      <c r="I299" s="20">
        <v>0</v>
      </c>
      <c r="J299" s="20">
        <v>8431.43</v>
      </c>
      <c r="K299" s="20">
        <v>187</v>
      </c>
      <c r="L299" s="20">
        <v>19</v>
      </c>
      <c r="M299" s="20">
        <v>8</v>
      </c>
      <c r="N299" s="29">
        <f>IF(Table2[[#This Row],[impressions]]=0,0,Table2[[#This Row],[spend_inr]]/Table2[[#This Row],[impressions]]*1000)</f>
        <v>0</v>
      </c>
      <c r="O299" s="31">
        <f>IF(Table2[[#This Row],[impressions]]=0,0,Table2[[#This Row],[clicks]]/Table2[[#This Row],[impressions]])</f>
        <v>8.8092446826327254E-3</v>
      </c>
      <c r="P299" s="32">
        <f>IF(Table2[[#This Row],[clicks]]=0,0,Table2[[#This Row],[spend_inr]]/Table2[[#This Row],[clicks]])</f>
        <v>0</v>
      </c>
      <c r="Q299" s="31">
        <f>IF(Table2[[#This Row],[clicks]]=0,0,Table2[[#This Row],[conversions]]/Table2[[#This Row],[clicks]])</f>
        <v>2.6615969581749048E-2</v>
      </c>
      <c r="R299" s="30">
        <f>IF(Table2[[#This Row],[spend_inr]]=0,0,(Table2[[#This Row],[revenue_inr]]-Table2[[#This Row],[spend_inr]])/Table2[[#This Row],[spend_inr]])</f>
        <v>0</v>
      </c>
      <c r="S299" s="31">
        <f>IF(Table2[[#This Row],[impressions]]=0,0,(Table2[[#This Row],[likes]]+Table2[[#This Row],[comments]]+Table2[[#This Row],[shares]])/Table2[[#This Row],[impressions]])</f>
        <v>3.5839892815273822E-3</v>
      </c>
      <c r="T299" s="27"/>
    </row>
    <row r="300" spans="1:20" ht="15.75">
      <c r="A300" s="23" t="s">
        <v>51</v>
      </c>
      <c r="B300" s="20" t="s">
        <v>48</v>
      </c>
      <c r="C300" s="20" t="s">
        <v>45</v>
      </c>
      <c r="D300" s="20" t="s">
        <v>46</v>
      </c>
      <c r="E300" s="20" t="s">
        <v>50</v>
      </c>
      <c r="F300" s="20">
        <v>15530</v>
      </c>
      <c r="G300" s="20">
        <v>185</v>
      </c>
      <c r="H300" s="20">
        <v>0</v>
      </c>
      <c r="I300" s="20">
        <v>0</v>
      </c>
      <c r="J300" s="20">
        <v>3149.11</v>
      </c>
      <c r="K300" s="20">
        <v>74</v>
      </c>
      <c r="L300" s="20">
        <v>10</v>
      </c>
      <c r="M300" s="20">
        <v>5</v>
      </c>
      <c r="N300" s="29">
        <f>IF(Table2[[#This Row],[impressions]]=0,0,Table2[[#This Row],[spend_inr]]/Table2[[#This Row],[impressions]]*1000)</f>
        <v>0</v>
      </c>
      <c r="O300" s="31">
        <f>IF(Table2[[#This Row],[impressions]]=0,0,Table2[[#This Row],[clicks]]/Table2[[#This Row],[impressions]])</f>
        <v>1.1912427559562138E-2</v>
      </c>
      <c r="P300" s="32">
        <f>IF(Table2[[#This Row],[clicks]]=0,0,Table2[[#This Row],[spend_inr]]/Table2[[#This Row],[clicks]])</f>
        <v>0</v>
      </c>
      <c r="Q300" s="31">
        <f>IF(Table2[[#This Row],[clicks]]=0,0,Table2[[#This Row],[conversions]]/Table2[[#This Row],[clicks]])</f>
        <v>0</v>
      </c>
      <c r="R300" s="30">
        <f>IF(Table2[[#This Row],[spend_inr]]=0,0,(Table2[[#This Row],[revenue_inr]]-Table2[[#This Row],[spend_inr]])/Table2[[#This Row],[spend_inr]])</f>
        <v>0</v>
      </c>
      <c r="S300" s="31">
        <f>IF(Table2[[#This Row],[impressions]]=0,0,(Table2[[#This Row],[likes]]+Table2[[#This Row],[comments]]+Table2[[#This Row],[shares]])/Table2[[#This Row],[impressions]])</f>
        <v>5.7308435286542178E-3</v>
      </c>
      <c r="T300" s="27"/>
    </row>
    <row r="301" spans="1:20" ht="15.75">
      <c r="A301" s="23" t="s">
        <v>51</v>
      </c>
      <c r="B301" s="20" t="s">
        <v>48</v>
      </c>
      <c r="C301" s="20" t="s">
        <v>45</v>
      </c>
      <c r="D301" s="20" t="s">
        <v>40</v>
      </c>
      <c r="E301" s="20" t="s">
        <v>50</v>
      </c>
      <c r="F301" s="20">
        <v>56996</v>
      </c>
      <c r="G301" s="20">
        <v>420</v>
      </c>
      <c r="H301" s="20">
        <v>5</v>
      </c>
      <c r="I301" s="20">
        <v>0</v>
      </c>
      <c r="J301" s="20">
        <v>2544.25</v>
      </c>
      <c r="K301" s="20">
        <v>202</v>
      </c>
      <c r="L301" s="20">
        <v>12</v>
      </c>
      <c r="M301" s="20">
        <v>16</v>
      </c>
      <c r="N301" s="29">
        <f>IF(Table2[[#This Row],[impressions]]=0,0,Table2[[#This Row],[spend_inr]]/Table2[[#This Row],[impressions]]*1000)</f>
        <v>0</v>
      </c>
      <c r="O301" s="31">
        <f>IF(Table2[[#This Row],[impressions]]=0,0,Table2[[#This Row],[clicks]]/Table2[[#This Row],[impressions]])</f>
        <v>7.3689381710997266E-3</v>
      </c>
      <c r="P301" s="32">
        <f>IF(Table2[[#This Row],[clicks]]=0,0,Table2[[#This Row],[spend_inr]]/Table2[[#This Row],[clicks]])</f>
        <v>0</v>
      </c>
      <c r="Q301" s="31">
        <f>IF(Table2[[#This Row],[clicks]]=0,0,Table2[[#This Row],[conversions]]/Table2[[#This Row],[clicks]])</f>
        <v>1.1904761904761904E-2</v>
      </c>
      <c r="R301" s="30">
        <f>IF(Table2[[#This Row],[spend_inr]]=0,0,(Table2[[#This Row],[revenue_inr]]-Table2[[#This Row],[spend_inr]])/Table2[[#This Row],[spend_inr]])</f>
        <v>0</v>
      </c>
      <c r="S301" s="31">
        <f>IF(Table2[[#This Row],[impressions]]=0,0,(Table2[[#This Row],[likes]]+Table2[[#This Row],[comments]]+Table2[[#This Row],[shares]])/Table2[[#This Row],[impressions]])</f>
        <v>4.0353709032212789E-3</v>
      </c>
      <c r="T301" s="27"/>
    </row>
    <row r="302" spans="1:20" ht="15.75">
      <c r="A302" s="23" t="s">
        <v>42</v>
      </c>
      <c r="B302" s="20" t="s">
        <v>48</v>
      </c>
      <c r="C302" s="20" t="s">
        <v>49</v>
      </c>
      <c r="D302" s="20" t="s">
        <v>40</v>
      </c>
      <c r="E302" s="20" t="s">
        <v>41</v>
      </c>
      <c r="F302" s="20">
        <v>15801</v>
      </c>
      <c r="G302" s="20">
        <v>147</v>
      </c>
      <c r="H302" s="20">
        <v>2</v>
      </c>
      <c r="I302" s="20">
        <v>0</v>
      </c>
      <c r="J302" s="20">
        <v>2095.17</v>
      </c>
      <c r="K302" s="20">
        <v>68</v>
      </c>
      <c r="L302" s="20">
        <v>4</v>
      </c>
      <c r="M302" s="20">
        <v>5</v>
      </c>
      <c r="N302" s="29">
        <f>IF(Table2[[#This Row],[impressions]]=0,0,Table2[[#This Row],[spend_inr]]/Table2[[#This Row],[impressions]]*1000)</f>
        <v>0</v>
      </c>
      <c r="O302" s="31">
        <f>IF(Table2[[#This Row],[impressions]]=0,0,Table2[[#This Row],[clicks]]/Table2[[#This Row],[impressions]])</f>
        <v>9.3032086576798935E-3</v>
      </c>
      <c r="P302" s="32">
        <f>IF(Table2[[#This Row],[clicks]]=0,0,Table2[[#This Row],[spend_inr]]/Table2[[#This Row],[clicks]])</f>
        <v>0</v>
      </c>
      <c r="Q302" s="31">
        <f>IF(Table2[[#This Row],[clicks]]=0,0,Table2[[#This Row],[conversions]]/Table2[[#This Row],[clicks]])</f>
        <v>1.3605442176870748E-2</v>
      </c>
      <c r="R302" s="30">
        <f>IF(Table2[[#This Row],[spend_inr]]=0,0,(Table2[[#This Row],[revenue_inr]]-Table2[[#This Row],[spend_inr]])/Table2[[#This Row],[spend_inr]])</f>
        <v>0</v>
      </c>
      <c r="S302" s="31">
        <f>IF(Table2[[#This Row],[impressions]]=0,0,(Table2[[#This Row],[likes]]+Table2[[#This Row],[comments]]+Table2[[#This Row],[shares]])/Table2[[#This Row],[impressions]])</f>
        <v>4.8731092968799447E-3</v>
      </c>
      <c r="T302" s="27"/>
    </row>
    <row r="303" spans="1:20" ht="15.75">
      <c r="A303" s="23" t="s">
        <v>51</v>
      </c>
      <c r="B303" s="20" t="s">
        <v>48</v>
      </c>
      <c r="C303" s="20" t="s">
        <v>55</v>
      </c>
      <c r="D303" s="20" t="s">
        <v>46</v>
      </c>
      <c r="E303" s="20" t="s">
        <v>50</v>
      </c>
      <c r="F303" s="20">
        <v>69194</v>
      </c>
      <c r="G303" s="20">
        <v>684</v>
      </c>
      <c r="H303" s="20">
        <v>9</v>
      </c>
      <c r="I303" s="20">
        <v>0</v>
      </c>
      <c r="J303" s="20">
        <v>0</v>
      </c>
      <c r="K303" s="20">
        <v>300</v>
      </c>
      <c r="L303" s="20">
        <v>19</v>
      </c>
      <c r="M303" s="20">
        <v>20</v>
      </c>
      <c r="N303" s="29">
        <f>IF(Table2[[#This Row],[impressions]]=0,0,Table2[[#This Row],[spend_inr]]/Table2[[#This Row],[impressions]]*1000)</f>
        <v>0</v>
      </c>
      <c r="O303" s="31">
        <f>IF(Table2[[#This Row],[impressions]]=0,0,Table2[[#This Row],[clicks]]/Table2[[#This Row],[impressions]])</f>
        <v>9.8852501661993806E-3</v>
      </c>
      <c r="P303" s="32">
        <f>IF(Table2[[#This Row],[clicks]]=0,0,Table2[[#This Row],[spend_inr]]/Table2[[#This Row],[clicks]])</f>
        <v>0</v>
      </c>
      <c r="Q303" s="31">
        <f>IF(Table2[[#This Row],[clicks]]=0,0,Table2[[#This Row],[conversions]]/Table2[[#This Row],[clicks]])</f>
        <v>1.3157894736842105E-2</v>
      </c>
      <c r="R303" s="30">
        <f>IF(Table2[[#This Row],[spend_inr]]=0,0,(Table2[[#This Row],[revenue_inr]]-Table2[[#This Row],[spend_inr]])/Table2[[#This Row],[spend_inr]])</f>
        <v>0</v>
      </c>
      <c r="S303" s="31">
        <f>IF(Table2[[#This Row],[impressions]]=0,0,(Table2[[#This Row],[likes]]+Table2[[#This Row],[comments]]+Table2[[#This Row],[shares]])/Table2[[#This Row],[impressions]])</f>
        <v>4.899268722721623E-3</v>
      </c>
      <c r="T303" s="27"/>
    </row>
  </sheetData>
  <mergeCells count="2">
    <mergeCell ref="A3:J3"/>
    <mergeCell ref="E1:H1"/>
  </mergeCells>
  <conditionalFormatting sqref="R6:R303">
    <cfRule type="cellIs" dxfId="24" priority="2" operator="lessThan">
      <formula>0</formula>
    </cfRule>
  </conditionalFormatting>
  <conditionalFormatting sqref="R6:R303">
    <cfRule type="cellIs" dxfId="23" priority="1" operator="greaterThan">
      <formula>0</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D1789-9BBC-4708-ADB3-06D83A281B69}">
  <sheetPr>
    <tabColor theme="6" tint="-0.499984740745262"/>
  </sheetPr>
  <dimension ref="A1:H80"/>
  <sheetViews>
    <sheetView topLeftCell="A22" workbookViewId="0">
      <selection activeCell="A27" sqref="A27:G27"/>
    </sheetView>
  </sheetViews>
  <sheetFormatPr defaultRowHeight="15"/>
  <cols>
    <col min="1" max="1" width="12.42578125" bestFit="1" customWidth="1"/>
    <col min="2" max="2" width="25.5703125" bestFit="1" customWidth="1"/>
    <col min="3" max="3" width="17.85546875" bestFit="1" customWidth="1"/>
    <col min="4" max="4" width="8.42578125" bestFit="1" customWidth="1"/>
    <col min="5" max="5" width="8.5703125" bestFit="1" customWidth="1"/>
    <col min="6" max="6" width="11.140625" bestFit="1" customWidth="1"/>
  </cols>
  <sheetData>
    <row r="1" spans="1:8" ht="31.5">
      <c r="E1" s="113" t="s">
        <v>172</v>
      </c>
      <c r="F1" s="114"/>
      <c r="G1" s="114"/>
      <c r="H1" s="114"/>
    </row>
    <row r="3" spans="1:8">
      <c r="A3" s="54"/>
      <c r="B3" s="54"/>
      <c r="C3" s="55"/>
      <c r="D3" s="54"/>
      <c r="E3" s="54"/>
    </row>
    <row r="4" spans="1:8">
      <c r="A4" s="117" t="s">
        <v>173</v>
      </c>
      <c r="B4" s="117"/>
      <c r="C4" s="117"/>
      <c r="D4" s="56"/>
      <c r="E4" s="54"/>
    </row>
    <row r="5" spans="1:8">
      <c r="A5" s="54"/>
      <c r="B5" s="54"/>
      <c r="C5" s="54"/>
      <c r="D5" s="54"/>
      <c r="E5" s="54"/>
    </row>
    <row r="6" spans="1:8" ht="16.5" customHeight="1">
      <c r="A6" s="36" t="s">
        <v>170</v>
      </c>
      <c r="B6" t="s">
        <v>174</v>
      </c>
    </row>
    <row r="8" spans="1:8">
      <c r="A8" s="36" t="s">
        <v>25</v>
      </c>
      <c r="B8" t="s">
        <v>175</v>
      </c>
    </row>
    <row r="9" spans="1:8">
      <c r="A9" t="s">
        <v>52</v>
      </c>
      <c r="B9" s="49">
        <v>7.8528878193838745</v>
      </c>
    </row>
    <row r="10" spans="1:8">
      <c r="A10" t="s">
        <v>37</v>
      </c>
      <c r="B10" s="49">
        <v>2.1184044574672272</v>
      </c>
    </row>
    <row r="11" spans="1:8">
      <c r="A11" t="s">
        <v>42</v>
      </c>
      <c r="B11" s="49">
        <v>0.50686570861897073</v>
      </c>
    </row>
    <row r="12" spans="1:8">
      <c r="A12" t="s">
        <v>51</v>
      </c>
      <c r="B12" s="49">
        <v>0.20412389696331559</v>
      </c>
    </row>
    <row r="14" spans="1:8" ht="45" customHeight="1">
      <c r="A14" s="99" t="s">
        <v>176</v>
      </c>
      <c r="B14" s="116"/>
      <c r="C14" s="116"/>
      <c r="D14" s="116"/>
      <c r="E14" s="116"/>
      <c r="F14" s="116"/>
      <c r="G14" s="116"/>
      <c r="H14" s="52"/>
    </row>
    <row r="19" spans="1:7" ht="14.25" customHeight="1">
      <c r="A19" s="120" t="s">
        <v>177</v>
      </c>
      <c r="B19" s="120"/>
      <c r="C19" s="120"/>
    </row>
    <row r="21" spans="1:7">
      <c r="A21" s="36" t="s">
        <v>25</v>
      </c>
      <c r="B21" t="s">
        <v>178</v>
      </c>
      <c r="C21" t="s">
        <v>179</v>
      </c>
    </row>
    <row r="22" spans="1:7">
      <c r="A22" t="s">
        <v>52</v>
      </c>
      <c r="B22" s="69">
        <v>345248.64999999985</v>
      </c>
      <c r="C22" s="69">
        <v>3148440.0300000003</v>
      </c>
    </row>
    <row r="23" spans="1:7">
      <c r="A23" t="s">
        <v>37</v>
      </c>
      <c r="B23" s="69">
        <v>325666.17999999993</v>
      </c>
      <c r="C23" s="69">
        <v>971192.6100000001</v>
      </c>
    </row>
    <row r="24" spans="1:7">
      <c r="A24" t="s">
        <v>42</v>
      </c>
      <c r="B24" s="69">
        <v>547424.43000000005</v>
      </c>
      <c r="C24" s="69">
        <v>730912.19000000006</v>
      </c>
    </row>
    <row r="25" spans="1:7">
      <c r="A25" t="s">
        <v>51</v>
      </c>
      <c r="B25" s="69">
        <v>384125.93999999994</v>
      </c>
      <c r="C25" s="69">
        <v>446084.24999999988</v>
      </c>
    </row>
    <row r="27" spans="1:7" ht="31.5" customHeight="1">
      <c r="A27" s="99" t="s">
        <v>180</v>
      </c>
      <c r="B27" s="116"/>
      <c r="C27" s="116"/>
      <c r="D27" s="116"/>
      <c r="E27" s="116"/>
      <c r="F27" s="116"/>
      <c r="G27" s="116"/>
    </row>
    <row r="32" spans="1:7" ht="15" customHeight="1">
      <c r="A32" s="118" t="s">
        <v>181</v>
      </c>
      <c r="B32" s="118"/>
      <c r="C32" s="118"/>
      <c r="D32" s="57"/>
    </row>
    <row r="34" spans="1:7">
      <c r="A34" s="36" t="s">
        <v>25</v>
      </c>
      <c r="B34" t="s">
        <v>182</v>
      </c>
    </row>
    <row r="35" spans="1:7">
      <c r="A35" t="s">
        <v>52</v>
      </c>
      <c r="B35" s="51">
        <v>6.6800961835767918</v>
      </c>
    </row>
    <row r="36" spans="1:7">
      <c r="A36" t="s">
        <v>37</v>
      </c>
      <c r="B36" s="51">
        <v>10.617319326779283</v>
      </c>
    </row>
    <row r="37" spans="1:7">
      <c r="A37" t="s">
        <v>51</v>
      </c>
      <c r="B37" s="51">
        <v>16.877519826757975</v>
      </c>
    </row>
    <row r="38" spans="1:7">
      <c r="A38" t="s">
        <v>42</v>
      </c>
      <c r="B38" s="51">
        <v>22.604091393809611</v>
      </c>
    </row>
    <row r="40" spans="1:7" ht="31.5" customHeight="1">
      <c r="A40" s="99" t="s">
        <v>183</v>
      </c>
      <c r="B40" s="116"/>
      <c r="C40" s="116"/>
      <c r="D40" s="116"/>
      <c r="E40" s="116"/>
      <c r="F40" s="116"/>
      <c r="G40" s="116"/>
    </row>
    <row r="45" spans="1:7">
      <c r="A45" s="115" t="s">
        <v>184</v>
      </c>
      <c r="B45" s="115"/>
      <c r="C45" s="115"/>
    </row>
    <row r="47" spans="1:7">
      <c r="A47" s="36" t="s">
        <v>7</v>
      </c>
      <c r="B47" t="s">
        <v>185</v>
      </c>
    </row>
    <row r="48" spans="1:7">
      <c r="A48" t="s">
        <v>48</v>
      </c>
      <c r="B48" s="53">
        <v>2.1556604634532524E-2</v>
      </c>
    </row>
    <row r="49" spans="1:7">
      <c r="A49" t="s">
        <v>38</v>
      </c>
      <c r="B49" s="53">
        <v>2.0563219355249365E-2</v>
      </c>
    </row>
    <row r="50" spans="1:7">
      <c r="A50" t="s">
        <v>43</v>
      </c>
      <c r="B50" s="53">
        <v>2.0410969778733409E-2</v>
      </c>
    </row>
    <row r="51" spans="1:7">
      <c r="A51" t="s">
        <v>44</v>
      </c>
      <c r="B51" s="53">
        <v>1.9657995871245074E-2</v>
      </c>
    </row>
    <row r="53" spans="1:7" ht="31.5" customHeight="1">
      <c r="A53" s="99" t="s">
        <v>186</v>
      </c>
      <c r="B53" s="116"/>
      <c r="C53" s="116"/>
      <c r="D53" s="116"/>
      <c r="E53" s="116"/>
      <c r="F53" s="116"/>
      <c r="G53" s="116"/>
    </row>
    <row r="58" spans="1:7" ht="15.75" customHeight="1">
      <c r="A58" s="119" t="s">
        <v>187</v>
      </c>
      <c r="B58" s="119"/>
      <c r="C58" s="119"/>
    </row>
    <row r="60" spans="1:7">
      <c r="A60" s="36" t="s">
        <v>25</v>
      </c>
      <c r="B60" t="s">
        <v>188</v>
      </c>
    </row>
    <row r="61" spans="1:7">
      <c r="A61" t="s">
        <v>37</v>
      </c>
      <c r="B61" s="53">
        <v>6.5423812686728885E-3</v>
      </c>
    </row>
    <row r="62" spans="1:7">
      <c r="A62" t="s">
        <v>51</v>
      </c>
      <c r="B62" s="53">
        <v>4.340242329009111E-3</v>
      </c>
    </row>
    <row r="63" spans="1:7">
      <c r="A63" t="s">
        <v>42</v>
      </c>
      <c r="B63" s="53">
        <v>3.9499236518753091E-3</v>
      </c>
    </row>
    <row r="64" spans="1:7">
      <c r="A64" t="s">
        <v>52</v>
      </c>
      <c r="B64" s="53">
        <v>0</v>
      </c>
    </row>
    <row r="66" spans="1:7" ht="30.75" customHeight="1">
      <c r="A66" s="99" t="s">
        <v>189</v>
      </c>
      <c r="B66" s="116"/>
      <c r="C66" s="116"/>
      <c r="D66" s="116"/>
      <c r="E66" s="116"/>
      <c r="F66" s="116"/>
      <c r="G66" s="116"/>
    </row>
    <row r="71" spans="1:7">
      <c r="A71" s="115" t="s">
        <v>190</v>
      </c>
      <c r="B71" s="115"/>
      <c r="C71" s="115"/>
    </row>
    <row r="73" spans="1:7">
      <c r="A73" s="36" t="s">
        <v>26</v>
      </c>
      <c r="B73" t="s">
        <v>191</v>
      </c>
    </row>
    <row r="74" spans="1:7">
      <c r="A74" t="s">
        <v>49</v>
      </c>
      <c r="B74" s="50">
        <v>1241</v>
      </c>
    </row>
    <row r="75" spans="1:7">
      <c r="A75" t="s">
        <v>39</v>
      </c>
      <c r="B75" s="50">
        <v>1146</v>
      </c>
    </row>
    <row r="76" spans="1:7">
      <c r="A76" t="s">
        <v>55</v>
      </c>
      <c r="B76" s="50">
        <v>947</v>
      </c>
    </row>
    <row r="77" spans="1:7">
      <c r="A77" t="s">
        <v>54</v>
      </c>
      <c r="B77" s="50">
        <v>934</v>
      </c>
    </row>
    <row r="78" spans="1:7">
      <c r="A78" t="s">
        <v>45</v>
      </c>
      <c r="B78" s="50">
        <v>817</v>
      </c>
    </row>
    <row r="80" spans="1:7" ht="31.5" customHeight="1">
      <c r="A80" s="99" t="s">
        <v>192</v>
      </c>
      <c r="B80" s="116"/>
      <c r="C80" s="116"/>
      <c r="D80" s="116"/>
      <c r="E80" s="116"/>
      <c r="F80" s="116"/>
      <c r="G80" s="116"/>
    </row>
  </sheetData>
  <mergeCells count="13">
    <mergeCell ref="E1:H1"/>
    <mergeCell ref="A71:C71"/>
    <mergeCell ref="A80:G80"/>
    <mergeCell ref="A4:C4"/>
    <mergeCell ref="A32:C32"/>
    <mergeCell ref="A58:C58"/>
    <mergeCell ref="A66:G66"/>
    <mergeCell ref="A53:G53"/>
    <mergeCell ref="A40:G40"/>
    <mergeCell ref="A45:C45"/>
    <mergeCell ref="A19:C19"/>
    <mergeCell ref="A27:G27"/>
    <mergeCell ref="A14:G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91651-C6BE-470F-8E64-A8906A10D4BD}">
  <sheetPr>
    <tabColor rgb="FF92D050"/>
  </sheetPr>
  <dimension ref="B1:S514"/>
  <sheetViews>
    <sheetView showGridLines="0" tabSelected="1" topLeftCell="A9" workbookViewId="0">
      <selection activeCell="Q36" sqref="Q36"/>
    </sheetView>
  </sheetViews>
  <sheetFormatPr defaultRowHeight="15"/>
  <cols>
    <col min="1" max="1" width="10.85546875" bestFit="1" customWidth="1"/>
    <col min="2" max="2" width="14" bestFit="1" customWidth="1"/>
    <col min="3" max="3" width="14.140625" bestFit="1" customWidth="1"/>
    <col min="4" max="4" width="12.7109375" bestFit="1" customWidth="1"/>
    <col min="5" max="5" width="7.28515625" bestFit="1" customWidth="1"/>
    <col min="6" max="6" width="13" bestFit="1" customWidth="1"/>
    <col min="8" max="8" width="2.85546875" customWidth="1"/>
    <col min="10" max="10" width="10.85546875" customWidth="1"/>
    <col min="11" max="11" width="8.28515625" bestFit="1" customWidth="1"/>
    <col min="13" max="13" width="11.42578125" customWidth="1"/>
  </cols>
  <sheetData>
    <row r="1" spans="2:12" s="71" customFormat="1" ht="31.5">
      <c r="D1" s="122" t="s">
        <v>193</v>
      </c>
      <c r="E1" s="122"/>
      <c r="F1" s="122"/>
      <c r="G1" s="122"/>
      <c r="H1" s="122"/>
      <c r="I1" s="122"/>
      <c r="J1" s="122"/>
      <c r="K1" s="122"/>
      <c r="L1" s="122"/>
    </row>
    <row r="5" spans="2:12" ht="15.75">
      <c r="B5" s="62" t="s">
        <v>194</v>
      </c>
      <c r="C5" s="62" t="s">
        <v>195</v>
      </c>
      <c r="D5" s="62" t="s">
        <v>103</v>
      </c>
      <c r="E5" s="62" t="s">
        <v>196</v>
      </c>
      <c r="F5" s="62" t="s">
        <v>197</v>
      </c>
    </row>
    <row r="6" spans="2:12" ht="18.75">
      <c r="B6" s="63" t="s">
        <v>198</v>
      </c>
      <c r="C6" s="63" t="s">
        <v>199</v>
      </c>
      <c r="D6" s="64">
        <v>5085</v>
      </c>
      <c r="E6" s="65">
        <v>2.2999999999999998</v>
      </c>
      <c r="F6" s="66" t="s">
        <v>200</v>
      </c>
    </row>
    <row r="10" spans="2:12" ht="18.75">
      <c r="C10" s="67"/>
    </row>
    <row r="13" spans="2:12">
      <c r="J13" s="49"/>
    </row>
    <row r="14" spans="2:12">
      <c r="J14" s="49"/>
    </row>
    <row r="15" spans="2:12">
      <c r="J15" s="49"/>
    </row>
    <row r="16" spans="2:12">
      <c r="J16" s="49"/>
    </row>
    <row r="25" spans="2:15" ht="15" customHeight="1">
      <c r="B25" s="123" t="s">
        <v>201</v>
      </c>
      <c r="C25" s="123"/>
      <c r="D25" s="123"/>
      <c r="E25" s="123"/>
      <c r="F25" s="123"/>
      <c r="G25" s="72"/>
      <c r="H25" s="72"/>
      <c r="I25" s="124" t="s">
        <v>202</v>
      </c>
      <c r="J25" s="124"/>
      <c r="K25" s="124"/>
      <c r="L25" s="124"/>
      <c r="M25" s="124"/>
      <c r="N25" s="124"/>
      <c r="O25" s="124"/>
    </row>
    <row r="26" spans="2:15">
      <c r="B26" s="123"/>
      <c r="C26" s="123"/>
      <c r="D26" s="123"/>
      <c r="E26" s="123"/>
      <c r="F26" s="123"/>
      <c r="I26" s="124"/>
      <c r="J26" s="124"/>
      <c r="K26" s="124"/>
      <c r="L26" s="124"/>
      <c r="M26" s="124"/>
      <c r="N26" s="124"/>
      <c r="O26" s="124"/>
    </row>
    <row r="29" spans="2:15">
      <c r="J29" s="68"/>
      <c r="K29" s="68"/>
    </row>
    <row r="30" spans="2:15">
      <c r="J30" s="68"/>
      <c r="K30" s="68"/>
    </row>
    <row r="31" spans="2:15">
      <c r="J31" s="68"/>
      <c r="K31" s="68"/>
    </row>
    <row r="32" spans="2:15">
      <c r="J32" s="68"/>
      <c r="K32" s="68"/>
    </row>
    <row r="44" spans="2:19" ht="16.5" customHeight="1">
      <c r="B44" s="124" t="s">
        <v>203</v>
      </c>
      <c r="C44" s="124"/>
      <c r="D44" s="124"/>
      <c r="E44" s="124"/>
      <c r="F44" s="124"/>
      <c r="G44" s="74"/>
      <c r="H44" s="74"/>
      <c r="I44" s="124" t="s">
        <v>204</v>
      </c>
      <c r="J44" s="124"/>
      <c r="K44" s="124"/>
      <c r="L44" s="124"/>
      <c r="M44" s="124"/>
      <c r="N44" s="124"/>
      <c r="O44" s="124"/>
    </row>
    <row r="45" spans="2:19" ht="15" customHeight="1">
      <c r="B45" s="124"/>
      <c r="C45" s="124"/>
      <c r="D45" s="124"/>
      <c r="E45" s="124"/>
      <c r="F45" s="124"/>
      <c r="G45" s="74"/>
      <c r="H45" s="74"/>
      <c r="I45" s="124"/>
      <c r="J45" s="124"/>
      <c r="K45" s="124"/>
      <c r="L45" s="124"/>
      <c r="M45" s="124"/>
      <c r="N45" s="124"/>
      <c r="O45" s="124"/>
    </row>
    <row r="46" spans="2:19">
      <c r="S46" s="88"/>
    </row>
    <row r="63" spans="2:11">
      <c r="E63" s="124" t="s">
        <v>205</v>
      </c>
      <c r="F63" s="124"/>
      <c r="G63" s="124"/>
      <c r="H63" s="124"/>
      <c r="I63" s="124"/>
      <c r="J63" s="124"/>
      <c r="K63" s="124"/>
    </row>
    <row r="64" spans="2:11">
      <c r="B64" s="75"/>
      <c r="C64" s="56"/>
      <c r="D64" s="56"/>
      <c r="E64" s="124"/>
      <c r="F64" s="124"/>
      <c r="G64" s="124"/>
      <c r="H64" s="124"/>
      <c r="I64" s="124"/>
      <c r="J64" s="124"/>
      <c r="K64" s="124"/>
    </row>
    <row r="65" spans="2:6" ht="15" customHeight="1">
      <c r="B65" s="88"/>
      <c r="C65" s="88"/>
      <c r="D65" s="88"/>
    </row>
    <row r="70" spans="2:6" ht="15" customHeight="1">
      <c r="B70" s="121" t="s">
        <v>206</v>
      </c>
      <c r="C70" s="121"/>
      <c r="D70" s="121"/>
      <c r="E70" s="77"/>
      <c r="F70" s="76"/>
    </row>
    <row r="83" spans="2:8">
      <c r="B83" s="73"/>
      <c r="C83" s="74"/>
      <c r="D83" s="74"/>
      <c r="E83" s="74"/>
      <c r="F83" s="74"/>
      <c r="G83" s="74"/>
      <c r="H83" s="74"/>
    </row>
    <row r="84" spans="2:8">
      <c r="B84" s="74"/>
      <c r="C84" s="74"/>
      <c r="D84" s="74"/>
      <c r="E84" s="74"/>
      <c r="F84" s="74"/>
      <c r="G84" s="74"/>
      <c r="H84" s="74"/>
    </row>
    <row r="103" spans="2:8">
      <c r="B103" s="73"/>
      <c r="C103" s="56"/>
      <c r="D103" s="56"/>
      <c r="E103" s="56"/>
      <c r="F103" s="56"/>
      <c r="G103" s="56"/>
      <c r="H103" s="56"/>
    </row>
    <row r="104" spans="2:8">
      <c r="B104" s="56"/>
      <c r="C104" s="56"/>
      <c r="D104" s="56"/>
      <c r="E104" s="56"/>
      <c r="F104" s="56"/>
      <c r="G104" s="56"/>
      <c r="H104" s="56"/>
    </row>
    <row r="499" spans="11:13">
      <c r="K499" t="s">
        <v>25</v>
      </c>
      <c r="L499" t="s">
        <v>182</v>
      </c>
    </row>
    <row r="500" spans="11:13">
      <c r="K500" t="s">
        <v>52</v>
      </c>
      <c r="L500" s="70">
        <v>6.6800961835767918</v>
      </c>
    </row>
    <row r="501" spans="11:13">
      <c r="K501" t="s">
        <v>37</v>
      </c>
      <c r="L501" s="70">
        <v>10.617319326779283</v>
      </c>
    </row>
    <row r="502" spans="11:13">
      <c r="K502" t="s">
        <v>42</v>
      </c>
      <c r="L502" s="70">
        <v>22.604091393809611</v>
      </c>
    </row>
    <row r="503" spans="11:13">
      <c r="K503" t="s">
        <v>51</v>
      </c>
      <c r="L503" s="70">
        <v>16.877519826757975</v>
      </c>
    </row>
    <row r="510" spans="11:13">
      <c r="L510" t="s">
        <v>25</v>
      </c>
      <c r="M510" t="s">
        <v>188</v>
      </c>
    </row>
    <row r="511" spans="11:13">
      <c r="L511" t="s">
        <v>52</v>
      </c>
      <c r="M511" s="53">
        <v>0</v>
      </c>
    </row>
    <row r="512" spans="11:13">
      <c r="L512" t="s">
        <v>37</v>
      </c>
      <c r="M512" s="53">
        <v>6.5423812686728885E-3</v>
      </c>
    </row>
    <row r="513" spans="12:13">
      <c r="L513" t="s">
        <v>42</v>
      </c>
      <c r="M513" s="53">
        <v>3.9499236518753091E-3</v>
      </c>
    </row>
    <row r="514" spans="12:13">
      <c r="L514" t="s">
        <v>51</v>
      </c>
      <c r="M514" s="53">
        <v>4.340242329009111E-3</v>
      </c>
    </row>
  </sheetData>
  <mergeCells count="7">
    <mergeCell ref="D1:L1"/>
    <mergeCell ref="B70:D70"/>
    <mergeCell ref="B25:F26"/>
    <mergeCell ref="E63:K64"/>
    <mergeCell ref="I25:O26"/>
    <mergeCell ref="I44:O45"/>
    <mergeCell ref="B44:F4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BDFC-3255-4E01-BDB5-87397A68CDD6}">
  <sheetPr>
    <tabColor theme="5" tint="0.39997558519241921"/>
  </sheetPr>
  <dimension ref="A1:L143"/>
  <sheetViews>
    <sheetView workbookViewId="0">
      <selection activeCell="D1" sqref="D1:J1"/>
    </sheetView>
  </sheetViews>
  <sheetFormatPr defaultRowHeight="15"/>
  <cols>
    <col min="1" max="1" width="43.28515625" bestFit="1" customWidth="1"/>
  </cols>
  <sheetData>
    <row r="1" spans="1:12" ht="31.5">
      <c r="D1" s="114" t="s">
        <v>207</v>
      </c>
      <c r="E1" s="114"/>
      <c r="F1" s="114"/>
      <c r="G1" s="114"/>
      <c r="H1" s="114"/>
      <c r="I1" s="114"/>
      <c r="J1" s="114"/>
    </row>
    <row r="3" spans="1:12" ht="15" customHeight="1">
      <c r="A3" s="125" t="s">
        <v>208</v>
      </c>
      <c r="B3" s="126"/>
      <c r="C3" s="126"/>
      <c r="D3" s="126"/>
      <c r="E3" s="126"/>
      <c r="F3" s="126"/>
      <c r="G3" s="126"/>
      <c r="H3" s="126"/>
      <c r="I3" s="126"/>
      <c r="J3" s="87"/>
      <c r="L3" s="81"/>
    </row>
    <row r="4" spans="1:12">
      <c r="A4" s="126"/>
      <c r="B4" s="126"/>
      <c r="C4" s="126"/>
      <c r="D4" s="126"/>
      <c r="E4" s="126"/>
      <c r="F4" s="126"/>
      <c r="G4" s="126"/>
      <c r="H4" s="126"/>
      <c r="I4" s="126"/>
      <c r="J4" s="87"/>
      <c r="L4" s="81"/>
    </row>
    <row r="5" spans="1:12">
      <c r="A5" s="126"/>
      <c r="B5" s="126"/>
      <c r="C5" s="126"/>
      <c r="D5" s="126"/>
      <c r="E5" s="126"/>
      <c r="F5" s="126"/>
      <c r="G5" s="126"/>
      <c r="H5" s="126"/>
      <c r="I5" s="126"/>
      <c r="J5" s="87"/>
    </row>
    <row r="7" spans="1:12" ht="15.75" customHeight="1">
      <c r="A7" s="83" t="s">
        <v>209</v>
      </c>
      <c r="B7" s="82"/>
      <c r="C7" s="82"/>
      <c r="D7" s="82"/>
    </row>
    <row r="9" spans="1:12">
      <c r="A9" s="127" t="s">
        <v>210</v>
      </c>
      <c r="B9" s="127"/>
      <c r="C9" s="127"/>
      <c r="D9" s="127"/>
      <c r="E9" s="127"/>
      <c r="F9" s="88"/>
      <c r="G9" s="88"/>
      <c r="H9" s="88"/>
    </row>
    <row r="10" spans="1:12">
      <c r="A10" s="127"/>
      <c r="B10" s="127"/>
      <c r="C10" s="127"/>
      <c r="D10" s="127"/>
      <c r="E10" s="127"/>
      <c r="F10" s="88"/>
      <c r="G10" s="88"/>
      <c r="H10" s="88"/>
    </row>
    <row r="11" spans="1:12" ht="16.5" customHeight="1">
      <c r="A11" s="127"/>
      <c r="B11" s="127"/>
      <c r="C11" s="127"/>
      <c r="D11" s="127"/>
      <c r="E11" s="127"/>
      <c r="F11" s="88"/>
      <c r="G11" s="88"/>
      <c r="H11" s="88"/>
    </row>
    <row r="12" spans="1:12" ht="16.5" customHeight="1">
      <c r="A12" s="127"/>
      <c r="B12" s="127"/>
      <c r="C12" s="127"/>
      <c r="D12" s="127"/>
      <c r="E12" s="127"/>
      <c r="F12" s="88"/>
      <c r="G12" s="88"/>
      <c r="H12" s="88"/>
    </row>
    <row r="13" spans="1:12" ht="18">
      <c r="A13" s="127"/>
      <c r="B13" s="127"/>
      <c r="C13" s="127"/>
      <c r="D13" s="127"/>
      <c r="E13" s="127"/>
      <c r="F13" s="88"/>
      <c r="G13" s="88"/>
      <c r="H13" s="88"/>
    </row>
    <row r="14" spans="1:12" ht="15" customHeight="1">
      <c r="A14" s="127"/>
      <c r="B14" s="127"/>
      <c r="C14" s="127"/>
      <c r="D14" s="127"/>
      <c r="E14" s="127"/>
      <c r="F14" s="88"/>
      <c r="G14" s="88"/>
      <c r="H14" s="88"/>
    </row>
    <row r="15" spans="1:12" ht="15" customHeight="1"/>
    <row r="16" spans="1:12" ht="15" customHeight="1">
      <c r="A16" s="127" t="s">
        <v>211</v>
      </c>
      <c r="B16" s="128"/>
      <c r="C16" s="128"/>
      <c r="D16" s="128"/>
      <c r="E16" s="128"/>
    </row>
    <row r="17" spans="1:5" ht="15" customHeight="1">
      <c r="A17" s="128"/>
      <c r="B17" s="128"/>
      <c r="C17" s="128"/>
      <c r="D17" s="128"/>
      <c r="E17" s="128"/>
    </row>
    <row r="18" spans="1:5" ht="15" customHeight="1">
      <c r="A18" s="128"/>
      <c r="B18" s="128"/>
      <c r="C18" s="128"/>
      <c r="D18" s="128"/>
      <c r="E18" s="128"/>
    </row>
    <row r="19" spans="1:5" ht="15" customHeight="1">
      <c r="A19" s="128"/>
      <c r="B19" s="128"/>
      <c r="C19" s="128"/>
      <c r="D19" s="128"/>
      <c r="E19" s="128"/>
    </row>
    <row r="20" spans="1:5" ht="18" customHeight="1">
      <c r="A20" s="128"/>
      <c r="B20" s="128"/>
      <c r="C20" s="128"/>
      <c r="D20" s="128"/>
      <c r="E20" s="128"/>
    </row>
    <row r="21" spans="1:5" ht="18">
      <c r="A21" s="128"/>
      <c r="B21" s="128"/>
      <c r="C21" s="128"/>
      <c r="D21" s="128"/>
      <c r="E21" s="128"/>
    </row>
    <row r="22" spans="1:5" ht="17.25" customHeight="1">
      <c r="A22" s="128"/>
      <c r="B22" s="128"/>
      <c r="C22" s="128"/>
      <c r="D22" s="128"/>
      <c r="E22" s="128"/>
    </row>
    <row r="24" spans="1:5">
      <c r="A24" s="127" t="s">
        <v>212</v>
      </c>
      <c r="B24" s="127"/>
      <c r="C24" s="127"/>
      <c r="D24" s="127"/>
      <c r="E24" s="127"/>
    </row>
    <row r="25" spans="1:5" ht="12" customHeight="1">
      <c r="A25" s="127"/>
      <c r="B25" s="127"/>
      <c r="C25" s="127"/>
      <c r="D25" s="127"/>
      <c r="E25" s="127"/>
    </row>
    <row r="26" spans="1:5" ht="15" customHeight="1">
      <c r="A26" s="127"/>
      <c r="B26" s="127"/>
      <c r="C26" s="127"/>
      <c r="D26" s="127"/>
      <c r="E26" s="127"/>
    </row>
    <row r="27" spans="1:5">
      <c r="A27" s="127"/>
      <c r="B27" s="127"/>
      <c r="C27" s="127"/>
      <c r="D27" s="127"/>
      <c r="E27" s="127"/>
    </row>
    <row r="28" spans="1:5" ht="18" customHeight="1">
      <c r="A28" s="127"/>
      <c r="B28" s="127"/>
      <c r="C28" s="127"/>
      <c r="D28" s="127"/>
      <c r="E28" s="127"/>
    </row>
    <row r="29" spans="1:5" ht="18">
      <c r="A29" s="127"/>
      <c r="B29" s="127"/>
      <c r="C29" s="127"/>
      <c r="D29" s="127"/>
      <c r="E29" s="127"/>
    </row>
    <row r="30" spans="1:5" ht="15.75" customHeight="1">
      <c r="A30" s="127"/>
      <c r="B30" s="127"/>
      <c r="C30" s="127"/>
      <c r="D30" s="127"/>
      <c r="E30" s="127"/>
    </row>
    <row r="31" spans="1:5" ht="16.5" customHeight="1"/>
    <row r="32" spans="1:5" ht="21" customHeight="1">
      <c r="A32" s="129" t="s">
        <v>213</v>
      </c>
      <c r="B32" s="130"/>
      <c r="C32" s="130"/>
      <c r="D32" s="130"/>
      <c r="E32" s="130"/>
    </row>
    <row r="33" spans="1:5">
      <c r="A33" s="130"/>
      <c r="B33" s="130"/>
      <c r="C33" s="130"/>
      <c r="D33" s="130"/>
      <c r="E33" s="130"/>
    </row>
    <row r="34" spans="1:5" ht="10.5" customHeight="1">
      <c r="A34" s="130"/>
      <c r="B34" s="130"/>
      <c r="C34" s="130"/>
      <c r="D34" s="130"/>
      <c r="E34" s="130"/>
    </row>
    <row r="35" spans="1:5">
      <c r="A35" s="130"/>
      <c r="B35" s="130"/>
      <c r="C35" s="130"/>
      <c r="D35" s="130"/>
      <c r="E35" s="130"/>
    </row>
    <row r="36" spans="1:5">
      <c r="A36" s="130"/>
      <c r="B36" s="130"/>
      <c r="C36" s="130"/>
      <c r="D36" s="130"/>
      <c r="E36" s="130"/>
    </row>
    <row r="37" spans="1:5">
      <c r="A37" s="130"/>
      <c r="B37" s="130"/>
      <c r="C37" s="130"/>
      <c r="D37" s="130"/>
      <c r="E37" s="130"/>
    </row>
    <row r="38" spans="1:5" ht="19.5" customHeight="1">
      <c r="A38" s="130"/>
      <c r="B38" s="130"/>
      <c r="C38" s="130"/>
      <c r="D38" s="130"/>
      <c r="E38" s="130"/>
    </row>
    <row r="40" spans="1:5" ht="20.25">
      <c r="A40" s="84" t="s">
        <v>214</v>
      </c>
    </row>
    <row r="42" spans="1:5">
      <c r="A42" s="127" t="s">
        <v>215</v>
      </c>
      <c r="B42" s="127"/>
      <c r="C42" s="127"/>
      <c r="D42" s="127"/>
      <c r="E42" s="127"/>
    </row>
    <row r="43" spans="1:5">
      <c r="A43" s="127"/>
      <c r="B43" s="127"/>
      <c r="C43" s="127"/>
      <c r="D43" s="127"/>
      <c r="E43" s="127"/>
    </row>
    <row r="44" spans="1:5">
      <c r="A44" s="127"/>
      <c r="B44" s="127"/>
      <c r="C44" s="127"/>
      <c r="D44" s="127"/>
      <c r="E44" s="127"/>
    </row>
    <row r="45" spans="1:5">
      <c r="A45" s="127"/>
      <c r="B45" s="127"/>
      <c r="C45" s="127"/>
      <c r="D45" s="127"/>
      <c r="E45" s="127"/>
    </row>
    <row r="46" spans="1:5" ht="18.75" customHeight="1">
      <c r="A46" s="127"/>
      <c r="B46" s="127"/>
      <c r="C46" s="127"/>
      <c r="D46" s="127"/>
      <c r="E46" s="127"/>
    </row>
    <row r="47" spans="1:5" ht="18">
      <c r="A47" s="127"/>
      <c r="B47" s="127"/>
      <c r="C47" s="127"/>
      <c r="D47" s="127"/>
      <c r="E47" s="127"/>
    </row>
    <row r="48" spans="1:5" ht="18" customHeight="1">
      <c r="A48" s="127"/>
      <c r="B48" s="127"/>
      <c r="C48" s="127"/>
      <c r="D48" s="127"/>
      <c r="E48" s="127"/>
    </row>
    <row r="50" spans="1:5">
      <c r="A50" s="127" t="s">
        <v>216</v>
      </c>
      <c r="B50" s="127"/>
      <c r="C50" s="127"/>
      <c r="D50" s="127"/>
      <c r="E50" s="127"/>
    </row>
    <row r="51" spans="1:5" ht="15" customHeight="1">
      <c r="A51" s="127"/>
      <c r="B51" s="127"/>
      <c r="C51" s="127"/>
      <c r="D51" s="127"/>
      <c r="E51" s="127"/>
    </row>
    <row r="52" spans="1:5">
      <c r="A52" s="127"/>
      <c r="B52" s="127"/>
      <c r="C52" s="127"/>
      <c r="D52" s="127"/>
      <c r="E52" s="127"/>
    </row>
    <row r="53" spans="1:5" ht="18">
      <c r="A53" s="127"/>
      <c r="B53" s="127"/>
      <c r="C53" s="127"/>
      <c r="D53" s="127"/>
      <c r="E53" s="127"/>
    </row>
    <row r="54" spans="1:5">
      <c r="A54" s="127"/>
      <c r="B54" s="127"/>
      <c r="C54" s="127"/>
      <c r="D54" s="127"/>
      <c r="E54" s="127"/>
    </row>
    <row r="55" spans="1:5" ht="18" customHeight="1">
      <c r="A55" s="88"/>
      <c r="B55" s="88"/>
      <c r="C55" s="88"/>
      <c r="D55" s="88"/>
      <c r="E55" s="88"/>
    </row>
    <row r="56" spans="1:5" ht="18" customHeight="1">
      <c r="A56" s="127" t="s">
        <v>217</v>
      </c>
      <c r="B56" s="128"/>
      <c r="C56" s="128"/>
      <c r="D56" s="128"/>
      <c r="E56" s="128"/>
    </row>
    <row r="57" spans="1:5">
      <c r="A57" s="128"/>
      <c r="B57" s="128"/>
      <c r="C57" s="128"/>
      <c r="D57" s="128"/>
      <c r="E57" s="128"/>
    </row>
    <row r="58" spans="1:5">
      <c r="A58" s="128"/>
      <c r="B58" s="128"/>
      <c r="C58" s="128"/>
      <c r="D58" s="128"/>
      <c r="E58" s="128"/>
    </row>
    <row r="59" spans="1:5" ht="18">
      <c r="A59" s="128"/>
      <c r="B59" s="128"/>
      <c r="C59" s="128"/>
      <c r="D59" s="128"/>
      <c r="E59" s="128"/>
    </row>
    <row r="60" spans="1:5" ht="15" customHeight="1">
      <c r="A60" s="128"/>
      <c r="B60" s="128"/>
      <c r="C60" s="128"/>
      <c r="D60" s="128"/>
      <c r="E60" s="128"/>
    </row>
    <row r="62" spans="1:5">
      <c r="A62" s="131" t="s">
        <v>218</v>
      </c>
      <c r="B62" s="131"/>
      <c r="C62" s="131"/>
      <c r="D62" s="131"/>
      <c r="E62" s="131"/>
    </row>
    <row r="63" spans="1:5">
      <c r="A63" s="131"/>
      <c r="B63" s="131"/>
      <c r="C63" s="131"/>
      <c r="D63" s="131"/>
      <c r="E63" s="131"/>
    </row>
    <row r="64" spans="1:5">
      <c r="A64" s="131"/>
      <c r="B64" s="131"/>
      <c r="C64" s="131"/>
      <c r="D64" s="131"/>
      <c r="E64" s="131"/>
    </row>
    <row r="65" spans="1:5" ht="18" customHeight="1">
      <c r="A65" s="131"/>
      <c r="B65" s="131"/>
      <c r="C65" s="131"/>
      <c r="D65" s="131"/>
      <c r="E65" s="131"/>
    </row>
    <row r="66" spans="1:5">
      <c r="A66" s="131"/>
      <c r="B66" s="131"/>
      <c r="C66" s="131"/>
      <c r="D66" s="131"/>
      <c r="E66" s="131"/>
    </row>
    <row r="67" spans="1:5">
      <c r="A67" s="131"/>
      <c r="B67" s="131"/>
      <c r="C67" s="131"/>
      <c r="D67" s="131"/>
      <c r="E67" s="131"/>
    </row>
    <row r="69" spans="1:5" ht="18.75">
      <c r="A69" s="83" t="s">
        <v>219</v>
      </c>
    </row>
    <row r="71" spans="1:5">
      <c r="A71" s="127" t="s">
        <v>220</v>
      </c>
      <c r="B71" s="128"/>
      <c r="C71" s="128"/>
      <c r="D71" s="128"/>
      <c r="E71" s="128"/>
    </row>
    <row r="72" spans="1:5">
      <c r="A72" s="128"/>
      <c r="B72" s="128"/>
      <c r="C72" s="128"/>
      <c r="D72" s="128"/>
      <c r="E72" s="128"/>
    </row>
    <row r="73" spans="1:5" ht="20.25" customHeight="1">
      <c r="A73" s="128"/>
      <c r="B73" s="128"/>
      <c r="C73" s="128"/>
      <c r="D73" s="128"/>
      <c r="E73" s="128"/>
    </row>
    <row r="74" spans="1:5" ht="18">
      <c r="A74" s="128"/>
      <c r="B74" s="128"/>
      <c r="C74" s="128"/>
      <c r="D74" s="128"/>
      <c r="E74" s="128"/>
    </row>
    <row r="75" spans="1:5" ht="15" customHeight="1">
      <c r="A75" s="128"/>
      <c r="B75" s="128"/>
      <c r="C75" s="128"/>
      <c r="D75" s="128"/>
      <c r="E75" s="128"/>
    </row>
    <row r="76" spans="1:5" ht="15" customHeight="1"/>
    <row r="77" spans="1:5" ht="15" customHeight="1">
      <c r="A77" s="127" t="s">
        <v>221</v>
      </c>
      <c r="B77" s="127"/>
      <c r="C77" s="127"/>
      <c r="D77" s="127"/>
      <c r="E77" s="127"/>
    </row>
    <row r="78" spans="1:5" ht="15" customHeight="1">
      <c r="A78" s="127"/>
      <c r="B78" s="127"/>
      <c r="C78" s="127"/>
      <c r="D78" s="127"/>
      <c r="E78" s="127"/>
    </row>
    <row r="79" spans="1:5" ht="18.75" customHeight="1">
      <c r="A79" s="127"/>
      <c r="B79" s="127"/>
      <c r="C79" s="127"/>
      <c r="D79" s="127"/>
      <c r="E79" s="127"/>
    </row>
    <row r="80" spans="1:5" ht="15" customHeight="1">
      <c r="A80" s="127"/>
      <c r="B80" s="127"/>
      <c r="C80" s="127"/>
      <c r="D80" s="127"/>
      <c r="E80" s="127"/>
    </row>
    <row r="81" spans="1:5">
      <c r="A81" s="127"/>
      <c r="B81" s="127"/>
      <c r="C81" s="127"/>
      <c r="D81" s="127"/>
      <c r="E81" s="127"/>
    </row>
    <row r="82" spans="1:5" ht="18">
      <c r="A82" s="89"/>
      <c r="B82" s="89"/>
      <c r="C82" s="89"/>
      <c r="D82" s="89"/>
      <c r="E82" s="89"/>
    </row>
    <row r="83" spans="1:5">
      <c r="A83" s="129" t="s">
        <v>222</v>
      </c>
      <c r="B83" s="130"/>
      <c r="C83" s="130"/>
      <c r="D83" s="130"/>
      <c r="E83" s="130"/>
    </row>
    <row r="84" spans="1:5">
      <c r="A84" s="130"/>
      <c r="B84" s="130"/>
      <c r="C84" s="130"/>
      <c r="D84" s="130"/>
      <c r="E84" s="130"/>
    </row>
    <row r="85" spans="1:5" ht="18" customHeight="1">
      <c r="A85" s="130"/>
      <c r="B85" s="130"/>
      <c r="C85" s="130"/>
      <c r="D85" s="130"/>
      <c r="E85" s="130"/>
    </row>
    <row r="86" spans="1:5">
      <c r="A86" s="130"/>
      <c r="B86" s="130"/>
      <c r="C86" s="130"/>
      <c r="D86" s="130"/>
      <c r="E86" s="130"/>
    </row>
    <row r="87" spans="1:5">
      <c r="A87" s="130"/>
      <c r="B87" s="130"/>
      <c r="C87" s="130"/>
      <c r="D87" s="130"/>
      <c r="E87" s="130"/>
    </row>
    <row r="89" spans="1:5">
      <c r="A89" s="129" t="s">
        <v>223</v>
      </c>
      <c r="B89" s="130"/>
      <c r="C89" s="130"/>
      <c r="D89" s="130"/>
      <c r="E89" s="130"/>
    </row>
    <row r="90" spans="1:5">
      <c r="A90" s="130"/>
      <c r="B90" s="130"/>
      <c r="C90" s="130"/>
      <c r="D90" s="130"/>
      <c r="E90" s="130"/>
    </row>
    <row r="91" spans="1:5" ht="18" customHeight="1">
      <c r="A91" s="130"/>
      <c r="B91" s="130"/>
      <c r="C91" s="130"/>
      <c r="D91" s="130"/>
      <c r="E91" s="130"/>
    </row>
    <row r="92" spans="1:5">
      <c r="A92" s="130"/>
      <c r="B92" s="130"/>
      <c r="C92" s="130"/>
      <c r="D92" s="130"/>
      <c r="E92" s="130"/>
    </row>
    <row r="93" spans="1:5">
      <c r="A93" s="130"/>
      <c r="B93" s="130"/>
      <c r="C93" s="130"/>
      <c r="D93" s="130"/>
      <c r="E93" s="130"/>
    </row>
    <row r="95" spans="1:5" ht="15" customHeight="1">
      <c r="A95" s="83" t="s">
        <v>224</v>
      </c>
    </row>
    <row r="97" spans="1:5">
      <c r="A97" s="129" t="s">
        <v>225</v>
      </c>
      <c r="B97" s="129"/>
      <c r="C97" s="129"/>
      <c r="D97" s="129"/>
      <c r="E97" s="129"/>
    </row>
    <row r="98" spans="1:5">
      <c r="A98" s="129"/>
      <c r="B98" s="129"/>
      <c r="C98" s="129"/>
      <c r="D98" s="129"/>
      <c r="E98" s="129"/>
    </row>
    <row r="99" spans="1:5" ht="19.5" customHeight="1">
      <c r="A99" s="129"/>
      <c r="B99" s="129"/>
      <c r="C99" s="129"/>
      <c r="D99" s="129"/>
      <c r="E99" s="129"/>
    </row>
    <row r="100" spans="1:5">
      <c r="A100" s="129"/>
      <c r="B100" s="129"/>
      <c r="C100" s="129"/>
      <c r="D100" s="129"/>
      <c r="E100" s="129"/>
    </row>
    <row r="101" spans="1:5">
      <c r="A101" s="129"/>
      <c r="B101" s="129"/>
      <c r="C101" s="129"/>
      <c r="D101" s="129"/>
      <c r="E101" s="129"/>
    </row>
    <row r="102" spans="1:5">
      <c r="A102" s="88"/>
      <c r="B102" s="88"/>
      <c r="C102" s="88"/>
      <c r="D102" s="88"/>
      <c r="E102" s="88"/>
    </row>
    <row r="103" spans="1:5">
      <c r="A103" s="129" t="s">
        <v>226</v>
      </c>
      <c r="B103" s="130"/>
      <c r="C103" s="130"/>
      <c r="D103" s="130"/>
      <c r="E103" s="130"/>
    </row>
    <row r="104" spans="1:5">
      <c r="A104" s="130"/>
      <c r="B104" s="130"/>
      <c r="C104" s="130"/>
      <c r="D104" s="130"/>
      <c r="E104" s="130"/>
    </row>
    <row r="105" spans="1:5">
      <c r="A105" s="130"/>
      <c r="B105" s="130"/>
      <c r="C105" s="130"/>
      <c r="D105" s="130"/>
      <c r="E105" s="130"/>
    </row>
    <row r="106" spans="1:5" ht="21.75" customHeight="1">
      <c r="A106" s="130"/>
      <c r="B106" s="130"/>
      <c r="C106" s="130"/>
      <c r="D106" s="130"/>
      <c r="E106" s="130"/>
    </row>
    <row r="107" spans="1:5">
      <c r="A107" s="130"/>
      <c r="B107" s="130"/>
      <c r="C107" s="130"/>
      <c r="D107" s="130"/>
      <c r="E107" s="130"/>
    </row>
    <row r="108" spans="1:5">
      <c r="A108" s="130"/>
      <c r="B108" s="130"/>
      <c r="C108" s="130"/>
      <c r="D108" s="130"/>
      <c r="E108" s="130"/>
    </row>
    <row r="110" spans="1:5">
      <c r="A110" s="129" t="s">
        <v>227</v>
      </c>
      <c r="B110" s="130"/>
      <c r="C110" s="130"/>
      <c r="D110" s="130"/>
      <c r="E110" s="130"/>
    </row>
    <row r="111" spans="1:5">
      <c r="A111" s="130"/>
      <c r="B111" s="130"/>
      <c r="C111" s="130"/>
      <c r="D111" s="130"/>
      <c r="E111" s="130"/>
    </row>
    <row r="112" spans="1:5" ht="20.25" customHeight="1">
      <c r="A112" s="130"/>
      <c r="B112" s="130"/>
      <c r="C112" s="130"/>
      <c r="D112" s="130"/>
      <c r="E112" s="130"/>
    </row>
    <row r="113" spans="1:5">
      <c r="A113" s="130"/>
      <c r="B113" s="130"/>
      <c r="C113" s="130"/>
      <c r="D113" s="130"/>
      <c r="E113" s="130"/>
    </row>
    <row r="114" spans="1:5">
      <c r="A114" s="130"/>
      <c r="B114" s="130"/>
      <c r="C114" s="130"/>
      <c r="D114" s="130"/>
      <c r="E114" s="130"/>
    </row>
    <row r="116" spans="1:5" ht="18" customHeight="1">
      <c r="A116" s="83" t="s">
        <v>228</v>
      </c>
      <c r="B116" s="86"/>
    </row>
    <row r="118" spans="1:5">
      <c r="A118" s="127" t="s">
        <v>229</v>
      </c>
      <c r="B118" s="132"/>
      <c r="C118" s="132"/>
      <c r="D118" s="132"/>
      <c r="E118" s="132"/>
    </row>
    <row r="119" spans="1:5">
      <c r="A119" s="132"/>
      <c r="B119" s="132"/>
      <c r="C119" s="132"/>
      <c r="D119" s="132"/>
      <c r="E119" s="132"/>
    </row>
    <row r="120" spans="1:5" ht="18">
      <c r="A120" s="132"/>
      <c r="B120" s="132"/>
      <c r="C120" s="132"/>
      <c r="D120" s="132"/>
      <c r="E120" s="132"/>
    </row>
    <row r="121" spans="1:5">
      <c r="A121" s="132"/>
      <c r="B121" s="132"/>
      <c r="C121" s="132"/>
      <c r="D121" s="132"/>
      <c r="E121" s="132"/>
    </row>
    <row r="123" spans="1:5" ht="19.5" customHeight="1">
      <c r="A123" s="129" t="s">
        <v>230</v>
      </c>
      <c r="B123" s="130"/>
      <c r="C123" s="130"/>
      <c r="D123" s="130"/>
      <c r="E123" s="130"/>
    </row>
    <row r="124" spans="1:5">
      <c r="A124" s="130"/>
      <c r="B124" s="130"/>
      <c r="C124" s="130"/>
      <c r="D124" s="130"/>
      <c r="E124" s="130"/>
    </row>
    <row r="125" spans="1:5">
      <c r="A125" s="130"/>
      <c r="B125" s="130"/>
      <c r="C125" s="130"/>
      <c r="D125" s="130"/>
      <c r="E125" s="130"/>
    </row>
    <row r="127" spans="1:5" ht="18.75" customHeight="1">
      <c r="A127" s="129" t="s">
        <v>231</v>
      </c>
      <c r="B127" s="130"/>
      <c r="C127" s="130"/>
      <c r="D127" s="130"/>
      <c r="E127" s="130"/>
    </row>
    <row r="128" spans="1:5">
      <c r="A128" s="130"/>
      <c r="B128" s="130"/>
      <c r="C128" s="130"/>
      <c r="D128" s="130"/>
      <c r="E128" s="130"/>
    </row>
    <row r="129" spans="1:9">
      <c r="A129" s="130"/>
      <c r="B129" s="130"/>
      <c r="C129" s="130"/>
      <c r="D129" s="130"/>
      <c r="E129" s="130"/>
    </row>
    <row r="131" spans="1:9" ht="19.5" customHeight="1">
      <c r="A131" s="129" t="s">
        <v>232</v>
      </c>
      <c r="B131" s="130"/>
      <c r="C131" s="130"/>
      <c r="D131" s="130"/>
      <c r="E131" s="130"/>
      <c r="H131" s="85"/>
    </row>
    <row r="132" spans="1:9">
      <c r="A132" s="130"/>
      <c r="B132" s="130"/>
      <c r="C132" s="130"/>
      <c r="D132" s="130"/>
      <c r="E132" s="130"/>
    </row>
    <row r="133" spans="1:9">
      <c r="A133" s="130"/>
      <c r="B133" s="130"/>
      <c r="C133" s="130"/>
      <c r="D133" s="130"/>
      <c r="E133" s="130"/>
    </row>
    <row r="135" spans="1:9">
      <c r="A135" s="129" t="s">
        <v>233</v>
      </c>
      <c r="B135" s="130"/>
      <c r="C135" s="130"/>
      <c r="D135" s="130"/>
      <c r="E135" s="130"/>
    </row>
    <row r="136" spans="1:9" ht="18.75" customHeight="1">
      <c r="A136" s="130"/>
      <c r="B136" s="130"/>
      <c r="C136" s="130"/>
      <c r="D136" s="130"/>
      <c r="E136" s="130"/>
    </row>
    <row r="137" spans="1:9">
      <c r="A137" s="130"/>
      <c r="B137" s="130"/>
      <c r="C137" s="130"/>
      <c r="D137" s="130"/>
      <c r="E137" s="130"/>
    </row>
    <row r="138" spans="1:9">
      <c r="A138" s="130"/>
      <c r="B138" s="130"/>
      <c r="C138" s="130"/>
      <c r="D138" s="130"/>
      <c r="E138" s="130"/>
    </row>
    <row r="141" spans="1:9">
      <c r="A141" s="125" t="s">
        <v>234</v>
      </c>
      <c r="B141" s="126"/>
      <c r="C141" s="126"/>
      <c r="D141" s="126"/>
      <c r="E141" s="126"/>
      <c r="F141" s="126"/>
      <c r="G141" s="126"/>
      <c r="H141" s="126"/>
      <c r="I141" s="126"/>
    </row>
    <row r="142" spans="1:9">
      <c r="A142" s="126"/>
      <c r="B142" s="126"/>
      <c r="C142" s="126"/>
      <c r="D142" s="126"/>
      <c r="E142" s="126"/>
      <c r="F142" s="126"/>
      <c r="G142" s="126"/>
      <c r="H142" s="126"/>
      <c r="I142" s="126"/>
    </row>
    <row r="143" spans="1:9">
      <c r="A143" s="126"/>
      <c r="B143" s="126"/>
      <c r="C143" s="126"/>
      <c r="D143" s="126"/>
      <c r="E143" s="126"/>
      <c r="F143" s="126"/>
      <c r="G143" s="126"/>
      <c r="H143" s="126"/>
      <c r="I143" s="126"/>
    </row>
  </sheetData>
  <mergeCells count="23">
    <mergeCell ref="A77:E81"/>
    <mergeCell ref="A131:E133"/>
    <mergeCell ref="A135:E138"/>
    <mergeCell ref="A110:E114"/>
    <mergeCell ref="A118:E121"/>
    <mergeCell ref="A123:E125"/>
    <mergeCell ref="A127:E129"/>
    <mergeCell ref="D1:J1"/>
    <mergeCell ref="A141:I143"/>
    <mergeCell ref="A9:E14"/>
    <mergeCell ref="A16:E22"/>
    <mergeCell ref="A3:I5"/>
    <mergeCell ref="A50:E54"/>
    <mergeCell ref="A56:E60"/>
    <mergeCell ref="A32:E38"/>
    <mergeCell ref="A42:E48"/>
    <mergeCell ref="A24:E30"/>
    <mergeCell ref="A83:E87"/>
    <mergeCell ref="A89:E93"/>
    <mergeCell ref="A97:E101"/>
    <mergeCell ref="A103:E108"/>
    <mergeCell ref="A62:E67"/>
    <mergeCell ref="A71:E7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Aashka Tanvi</cp:lastModifiedBy>
  <cp:revision/>
  <dcterms:created xsi:type="dcterms:W3CDTF">2025-11-09T19:41:10Z</dcterms:created>
  <dcterms:modified xsi:type="dcterms:W3CDTF">2025-11-21T20:02:05Z</dcterms:modified>
  <cp:category/>
  <cp:contentStatus/>
</cp:coreProperties>
</file>